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375" tabRatio="600" firstSheet="0" activeTab="0" autoFilterDateGrouping="1"/>
  </bookViews>
  <sheets>
    <sheet xmlns:r="http://schemas.openxmlformats.org/officeDocument/2006/relationships" name="Sheet1 (2)" sheetId="1" state="visible" r:id="rId1"/>
  </sheets>
  <definedNames>
    <definedName name="_xlnm._FilterDatabase" localSheetId="0" hidden="1">'Sheet1 (2)'!$A$4:$J$66</definedName>
    <definedName name="_xlnm.Print_Area" localSheetId="0">'Sheet1 (2)'!$A$1:$J$66</definedName>
  </definedNames>
  <calcPr calcId="191029" fullCalcOnLoad="1"/>
</workbook>
</file>

<file path=xl/styles.xml><?xml version="1.0" encoding="utf-8"?>
<styleSheet xmlns="http://schemas.openxmlformats.org/spreadsheetml/2006/main">
  <numFmts count="2">
    <numFmt numFmtId="164" formatCode="0.00_ "/>
    <numFmt numFmtId="165" formatCode="&quot;￥&quot;#,##0.00;&quot;￥&quot;\-#,##0.00"/>
  </numFmts>
  <fonts count="47">
    <font>
      <name val="宋体"/>
      <charset val="134"/>
      <color theme="1"/>
      <sz val="11"/>
      <scheme val="minor"/>
    </font>
    <font>
      <name val="宋体"/>
      <charset val="134"/>
      <color theme="1"/>
      <sz val="11"/>
    </font>
    <font>
      <name val="宋体"/>
      <charset val="134"/>
      <color theme="1"/>
      <sz val="10"/>
    </font>
    <font>
      <name val="宋体"/>
      <charset val="134"/>
      <sz val="11"/>
    </font>
    <font>
      <name val="宋体"/>
      <charset val="134"/>
      <color theme="1"/>
      <sz val="9"/>
    </font>
    <font>
      <name val="宋体"/>
      <charset val="134"/>
      <b val="1"/>
      <color theme="1"/>
      <sz val="12"/>
    </font>
    <font>
      <name val="宋体"/>
      <charset val="134"/>
      <b val="1"/>
      <sz val="12"/>
    </font>
    <font>
      <name val="宋体"/>
      <charset val="134"/>
      <b val="1"/>
      <color theme="1"/>
      <sz val="9"/>
    </font>
    <font>
      <name val="宋体"/>
      <charset val="134"/>
      <color theme="1"/>
      <sz val="11"/>
      <u val="single"/>
    </font>
    <font>
      <name val="宋体"/>
      <charset val="134"/>
      <sz val="11"/>
      <u val="single"/>
    </font>
    <font>
      <name val="宋体"/>
      <charset val="134"/>
      <color theme="1"/>
      <sz val="9"/>
      <u val="single"/>
    </font>
    <font>
      <name val="宋体"/>
      <charset val="134"/>
      <sz val="9"/>
    </font>
    <font>
      <name val="宋体"/>
      <charset val="134"/>
      <color theme="1"/>
      <sz val="12"/>
    </font>
    <font>
      <name val="宋体"/>
      <charset val="134"/>
      <sz val="12"/>
    </font>
    <font>
      <name val="宋体"/>
      <charset val="134"/>
      <sz val="8"/>
    </font>
    <font>
      <name val="宋体"/>
      <charset val="134"/>
      <b val="1"/>
      <sz val="9"/>
    </font>
    <font>
      <name val="宋体"/>
      <charset val="0"/>
      <color theme="1"/>
      <sz val="10"/>
    </font>
    <font>
      <name val="仿宋"/>
      <charset val="134"/>
      <sz val="10"/>
    </font>
    <font>
      <name val="宋体"/>
      <charset val="134"/>
      <sz val="6"/>
    </font>
    <font>
      <name val="宋体"/>
      <charset val="134"/>
      <sz val="7"/>
    </font>
    <font>
      <name val="宋体"/>
      <charset val="134"/>
      <sz val="10"/>
    </font>
    <font>
      <name val="宋体"/>
      <charset val="134"/>
      <color rgb="FF000000"/>
      <sz val="11"/>
    </font>
    <font>
      <name val="宋体"/>
      <charset val="134"/>
      <color rgb="FF000000"/>
      <sz val="9"/>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theme="1"/>
      <sz val="9"/>
      <scheme val="minor"/>
    </font>
    <font>
      <name val="Times New Roman"/>
      <charset val="134"/>
      <sz val="12"/>
    </font>
    <font>
      <name val="Helv"/>
      <charset val="134"/>
      <sz val="10"/>
    </font>
    <font>
      <name val="宋体"/>
      <charset val="134"/>
      <b val="1"/>
      <color rgb="FFFF0000"/>
      <sz val="11"/>
    </font>
    <font>
      <b val="1"/>
      <sz val="11"/>
    </font>
  </fonts>
  <fills count="34">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3D3D3"/>
        <bgColor rgb="00D3D3D3"/>
      </patternFill>
    </fill>
  </fills>
  <borders count="24">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right style="thin"/>
      <top style="thin"/>
      <bottom style="thin"/>
    </border>
  </borders>
  <cellStyleXfs count="55">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3" fillId="0" borderId="0" applyAlignment="1">
      <alignment vertical="center"/>
    </xf>
    <xf numFmtId="0" fontId="24" fillId="0" borderId="0" applyAlignment="1">
      <alignment vertical="center"/>
    </xf>
    <xf numFmtId="0" fontId="0" fillId="2" borderId="15" applyAlignment="1">
      <alignment vertical="center"/>
    </xf>
    <xf numFmtId="0" fontId="25" fillId="0" borderId="0" applyAlignment="1">
      <alignment vertical="center"/>
    </xf>
    <xf numFmtId="0" fontId="26" fillId="0" borderId="0" applyAlignment="1">
      <alignment vertical="center"/>
    </xf>
    <xf numFmtId="0" fontId="27" fillId="0" borderId="0" applyAlignment="1">
      <alignment vertical="center"/>
    </xf>
    <xf numFmtId="0" fontId="28" fillId="0" borderId="16" applyAlignment="1">
      <alignment vertical="center"/>
    </xf>
    <xf numFmtId="0" fontId="29" fillId="0" borderId="16" applyAlignment="1">
      <alignment vertical="center"/>
    </xf>
    <xf numFmtId="0" fontId="30" fillId="0" borderId="17" applyAlignment="1">
      <alignment vertical="center"/>
    </xf>
    <xf numFmtId="0" fontId="30" fillId="0" borderId="0" applyAlignment="1">
      <alignment vertical="center"/>
    </xf>
    <xf numFmtId="0" fontId="31" fillId="3" borderId="18" applyAlignment="1">
      <alignment vertical="center"/>
    </xf>
    <xf numFmtId="0" fontId="32" fillId="4" borderId="19" applyAlignment="1">
      <alignment vertical="center"/>
    </xf>
    <xf numFmtId="0" fontId="33" fillId="4" borderId="18" applyAlignment="1">
      <alignment vertical="center"/>
    </xf>
    <xf numFmtId="0" fontId="34" fillId="5" borderId="20" applyAlignment="1">
      <alignment vertical="center"/>
    </xf>
    <xf numFmtId="0" fontId="35" fillId="0" borderId="21" applyAlignment="1">
      <alignment vertical="center"/>
    </xf>
    <xf numFmtId="0" fontId="36" fillId="0" borderId="22" applyAlignment="1">
      <alignment vertical="center"/>
    </xf>
    <xf numFmtId="0" fontId="37" fillId="6" borderId="0" applyAlignment="1">
      <alignment vertical="center"/>
    </xf>
    <xf numFmtId="0" fontId="38" fillId="7" borderId="0" applyAlignment="1">
      <alignment vertical="center"/>
    </xf>
    <xf numFmtId="0" fontId="39" fillId="8" borderId="0" applyAlignment="1">
      <alignment vertical="center"/>
    </xf>
    <xf numFmtId="0" fontId="40" fillId="9" borderId="0" applyAlignment="1">
      <alignment vertical="center"/>
    </xf>
    <xf numFmtId="0" fontId="41" fillId="10" borderId="0" applyAlignment="1">
      <alignment vertical="center"/>
    </xf>
    <xf numFmtId="0" fontId="41" fillId="11" borderId="0" applyAlignment="1">
      <alignment vertical="center"/>
    </xf>
    <xf numFmtId="0" fontId="40" fillId="12" borderId="0" applyAlignment="1">
      <alignment vertical="center"/>
    </xf>
    <xf numFmtId="0" fontId="40" fillId="13" borderId="0" applyAlignment="1">
      <alignment vertical="center"/>
    </xf>
    <xf numFmtId="0" fontId="41" fillId="14" borderId="0" applyAlignment="1">
      <alignment vertical="center"/>
    </xf>
    <xf numFmtId="0" fontId="41" fillId="15" borderId="0" applyAlignment="1">
      <alignment vertical="center"/>
    </xf>
    <xf numFmtId="0" fontId="40" fillId="16" borderId="0" applyAlignment="1">
      <alignment vertical="center"/>
    </xf>
    <xf numFmtId="0" fontId="40" fillId="17" borderId="0" applyAlignment="1">
      <alignment vertical="center"/>
    </xf>
    <xf numFmtId="0" fontId="41" fillId="18" borderId="0" applyAlignment="1">
      <alignment vertical="center"/>
    </xf>
    <xf numFmtId="0" fontId="41" fillId="19" borderId="0" applyAlignment="1">
      <alignment vertical="center"/>
    </xf>
    <xf numFmtId="0" fontId="40" fillId="20" borderId="0" applyAlignment="1">
      <alignment vertical="center"/>
    </xf>
    <xf numFmtId="0" fontId="40" fillId="21" borderId="0" applyAlignment="1">
      <alignment vertical="center"/>
    </xf>
    <xf numFmtId="0" fontId="41" fillId="22" borderId="0" applyAlignment="1">
      <alignment vertical="center"/>
    </xf>
    <xf numFmtId="0" fontId="41" fillId="23" borderId="0" applyAlignment="1">
      <alignment vertical="center"/>
    </xf>
    <xf numFmtId="0" fontId="40" fillId="24" borderId="0" applyAlignment="1">
      <alignment vertical="center"/>
    </xf>
    <xf numFmtId="0" fontId="40" fillId="25" borderId="0" applyAlignment="1">
      <alignment vertical="center"/>
    </xf>
    <xf numFmtId="0" fontId="41" fillId="26" borderId="0" applyAlignment="1">
      <alignment vertical="center"/>
    </xf>
    <xf numFmtId="0" fontId="41" fillId="27" borderId="0" applyAlignment="1">
      <alignment vertical="center"/>
    </xf>
    <xf numFmtId="0" fontId="40" fillId="28" borderId="0" applyAlignment="1">
      <alignment vertical="center"/>
    </xf>
    <xf numFmtId="0" fontId="40" fillId="29" borderId="0" applyAlignment="1">
      <alignment vertical="center"/>
    </xf>
    <xf numFmtId="0" fontId="41" fillId="30" borderId="0" applyAlignment="1">
      <alignment vertical="center"/>
    </xf>
    <xf numFmtId="0" fontId="41" fillId="31" borderId="0" applyAlignment="1">
      <alignment vertical="center"/>
    </xf>
    <xf numFmtId="0" fontId="40" fillId="32" borderId="0" applyAlignment="1">
      <alignment vertical="center"/>
    </xf>
    <xf numFmtId="0" fontId="42" fillId="0" borderId="0"/>
    <xf numFmtId="0" fontId="13" fillId="0" borderId="0" applyAlignment="1">
      <alignment vertical="center"/>
    </xf>
    <xf numFmtId="0" fontId="13" fillId="0" borderId="0" applyAlignment="1">
      <alignment vertical="center"/>
    </xf>
    <xf numFmtId="0" fontId="43" fillId="0" borderId="0"/>
    <xf numFmtId="0" fontId="44" fillId="0" borderId="0" applyAlignment="1">
      <alignment vertical="center"/>
    </xf>
    <xf numFmtId="0" fontId="13" fillId="0" borderId="0" applyAlignment="1">
      <alignment vertical="center"/>
    </xf>
  </cellStyleXfs>
  <cellXfs count="119">
    <xf numFmtId="0" fontId="0" fillId="0" borderId="0" applyAlignment="1" pivotButton="0" quotePrefix="0" xfId="0">
      <alignment vertical="center"/>
    </xf>
    <xf numFmtId="0" fontId="1" fillId="0" borderId="0" pivotButton="0" quotePrefix="0" xfId="0"/>
    <xf numFmtId="0" fontId="2" fillId="0" borderId="0" applyAlignment="1" pivotButton="0" quotePrefix="0" xfId="0">
      <alignment vertical="center"/>
    </xf>
    <xf numFmtId="0" fontId="1" fillId="0" borderId="0" applyAlignment="1" pivotButton="0" quotePrefix="0" xfId="0">
      <alignment vertical="center"/>
    </xf>
    <xf numFmtId="0" fontId="3"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1" fillId="0" borderId="0" applyAlignment="1" pivotButton="0" quotePrefix="0" xfId="0">
      <alignment horizontal="center" vertical="center"/>
    </xf>
    <xf numFmtId="0" fontId="1" fillId="0" borderId="0" applyAlignment="1" pivotButton="0" quotePrefix="0" xfId="0">
      <alignment horizontal="center" vertical="center" wrapText="1"/>
    </xf>
    <xf numFmtId="0" fontId="5" fillId="0" borderId="1" applyAlignment="1" pivotButton="0" quotePrefix="0" xfId="0">
      <alignment horizontal="center" vertical="center"/>
    </xf>
    <xf numFmtId="0" fontId="6" fillId="0" borderId="2" applyAlignment="1" pivotButton="0" quotePrefix="0" xfId="0">
      <alignment horizontal="center" vertical="center" wrapText="1"/>
    </xf>
    <xf numFmtId="0" fontId="7" fillId="0" borderId="2" applyAlignment="1" pivotButton="0" quotePrefix="0" xfId="0">
      <alignment horizontal="left" vertical="center" wrapText="1"/>
    </xf>
    <xf numFmtId="0" fontId="5" fillId="0" borderId="2" applyAlignment="1" pivotButton="0" quotePrefix="0" xfId="0">
      <alignment horizontal="center" vertical="center"/>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8" fillId="0" borderId="4" pivotButton="0" quotePrefix="0" xfId="0"/>
    <xf numFmtId="0" fontId="9" fillId="0" borderId="0" applyAlignment="1" pivotButton="0" quotePrefix="0" xfId="0">
      <alignment horizontal="center" wrapText="1"/>
    </xf>
    <xf numFmtId="0" fontId="10" fillId="0" borderId="0" applyAlignment="1" pivotButton="0" quotePrefix="0" xfId="0">
      <alignment horizontal="left" wrapText="1"/>
    </xf>
    <xf numFmtId="0" fontId="8" fillId="0" borderId="0" pivotButton="0" quotePrefix="0" xfId="0"/>
    <xf numFmtId="0" fontId="8" fillId="0" borderId="0" applyAlignment="1" pivotButton="0" quotePrefix="0" xfId="0">
      <alignment horizontal="center" vertical="center"/>
    </xf>
    <xf numFmtId="0" fontId="8" fillId="0" borderId="0" applyAlignment="1" pivotButton="0" quotePrefix="0" xfId="0">
      <alignment horizontal="center" vertical="center" wrapText="1"/>
    </xf>
    <xf numFmtId="0" fontId="8" fillId="0" borderId="5" applyAlignment="1" pivotButton="0" quotePrefix="0" xfId="0">
      <alignment horizontal="center" vertical="center" wrapText="1"/>
    </xf>
    <xf numFmtId="0" fontId="1" fillId="0" borderId="6" applyAlignment="1" pivotButton="0" quotePrefix="0" xfId="0">
      <alignment horizontal="left" vertical="center" wrapText="1"/>
    </xf>
    <xf numFmtId="0" fontId="3" fillId="0" borderId="7" applyAlignment="1" pivotButton="0" quotePrefix="0" xfId="0">
      <alignment horizontal="center" vertical="center" wrapText="1"/>
    </xf>
    <xf numFmtId="0" fontId="4" fillId="0" borderId="7" applyAlignment="1" pivotButton="0" quotePrefix="0" xfId="0">
      <alignment horizontal="left" vertical="center" wrapText="1"/>
    </xf>
    <xf numFmtId="0" fontId="1" fillId="0" borderId="7" applyAlignment="1" pivotButton="0" quotePrefix="0" xfId="0">
      <alignment horizontal="left" vertical="center" wrapText="1"/>
    </xf>
    <xf numFmtId="0" fontId="1" fillId="0" borderId="7" applyAlignment="1" pivotButton="0" quotePrefix="0" xfId="0">
      <alignment horizontal="center" vertical="center" wrapText="1"/>
    </xf>
    <xf numFmtId="0" fontId="1" fillId="0" borderId="8" applyAlignment="1" pivotButton="0" quotePrefix="0" xfId="0">
      <alignment horizontal="center" vertical="center" wrapText="1"/>
    </xf>
    <xf numFmtId="0" fontId="1" fillId="0" borderId="9" applyAlignment="1" pivotButton="0" quotePrefix="0" xfId="0">
      <alignment horizontal="center" vertical="center"/>
    </xf>
    <xf numFmtId="0" fontId="3" fillId="0" borderId="9" applyAlignment="1" pivotButton="0" quotePrefix="0" xfId="0">
      <alignment horizontal="center" vertical="center" wrapText="1"/>
    </xf>
    <xf numFmtId="0" fontId="11" fillId="0" borderId="9" applyAlignment="1" pivotButton="0" quotePrefix="0" xfId="0">
      <alignment horizontal="center" vertical="center" wrapText="1"/>
    </xf>
    <xf numFmtId="0" fontId="12" fillId="0" borderId="9" applyAlignment="1" pivotButton="0" quotePrefix="0" xfId="0">
      <alignment horizontal="center" vertical="center" wrapText="1"/>
    </xf>
    <xf numFmtId="164" fontId="13" fillId="0" borderId="9" applyAlignment="1" pivotButton="0" quotePrefix="0" xfId="0">
      <alignment horizontal="center" vertical="center" wrapText="1"/>
    </xf>
    <xf numFmtId="0" fontId="1" fillId="0" borderId="9" applyAlignment="1" pivotButton="0" quotePrefix="0" xfId="0">
      <alignment horizontal="center" vertical="center" wrapText="1"/>
    </xf>
    <xf numFmtId="0" fontId="14" fillId="0" borderId="10" applyAlignment="1" pivotButton="0" quotePrefix="0" xfId="54">
      <alignment horizontal="center" vertical="center" wrapText="1"/>
    </xf>
    <xf numFmtId="0" fontId="15" fillId="0" borderId="10" applyAlignment="1" pivotButton="0" quotePrefix="0" xfId="0">
      <alignment horizontal="left" vertical="center" wrapText="1"/>
    </xf>
    <xf numFmtId="0" fontId="4" fillId="0" borderId="10" applyAlignment="1" pivotButton="0" quotePrefix="0" xfId="0">
      <alignment horizontal="center" vertical="center" wrapText="1"/>
    </xf>
    <xf numFmtId="0" fontId="1" fillId="0" borderId="10" applyAlignment="1" pivotButton="0" quotePrefix="0" xfId="0">
      <alignment horizontal="center" vertical="center" wrapText="1"/>
    </xf>
    <xf numFmtId="164" fontId="1" fillId="0" borderId="10" applyAlignment="1" pivotButton="0" quotePrefix="0" xfId="0">
      <alignment horizontal="center" vertical="center" wrapText="1"/>
    </xf>
    <xf numFmtId="0" fontId="2" fillId="0" borderId="10" applyAlignment="1" pivotButton="0" quotePrefix="0" xfId="0">
      <alignment horizontal="center" vertical="center"/>
    </xf>
    <xf numFmtId="164" fontId="2" fillId="0" borderId="10" applyAlignment="1" pivotButton="0" quotePrefix="0" xfId="0">
      <alignment horizontal="center" vertical="center"/>
    </xf>
    <xf numFmtId="0" fontId="16" fillId="0" borderId="10" applyAlignment="1" pivotButton="0" quotePrefix="0" xfId="0">
      <alignment horizontal="center" vertical="center" wrapText="1"/>
    </xf>
    <xf numFmtId="165" fontId="17" fillId="0" borderId="10" applyAlignment="1" pivotButton="0" quotePrefix="0" xfId="49">
      <alignment horizontal="center" vertical="center" wrapText="1"/>
    </xf>
    <xf numFmtId="0" fontId="14" fillId="0" borderId="10" applyAlignment="1" pivotButton="0" quotePrefix="0" xfId="0">
      <alignment horizontal="center" vertical="center" wrapText="1"/>
    </xf>
    <xf numFmtId="0" fontId="14" fillId="0" borderId="10" applyAlignment="1" pivotButton="0" quotePrefix="0" xfId="0">
      <alignment horizontal="center" vertical="center"/>
    </xf>
    <xf numFmtId="0" fontId="14" fillId="0" borderId="10" applyAlignment="1" pivotButton="0" quotePrefix="0" xfId="0">
      <alignment horizontal="left" vertical="center"/>
    </xf>
    <xf numFmtId="0" fontId="11" fillId="0" borderId="10" applyAlignment="1" pivotButton="0" quotePrefix="0" xfId="0">
      <alignment horizontal="left" vertical="center" wrapText="1"/>
    </xf>
    <xf numFmtId="0" fontId="11" fillId="0" borderId="10" applyAlignment="1" pivotButton="0" quotePrefix="0" xfId="0">
      <alignment horizontal="center" vertical="center" wrapText="1"/>
    </xf>
    <xf numFmtId="0" fontId="11" fillId="0" borderId="10" applyAlignment="1" pivotButton="0" quotePrefix="0" xfId="0">
      <alignment horizontal="center" vertical="center"/>
    </xf>
    <xf numFmtId="49" fontId="18" fillId="0" borderId="10" applyAlignment="1" pivotButton="0" quotePrefix="0" xfId="0">
      <alignment horizontal="left" vertical="center" wrapText="1"/>
    </xf>
    <xf numFmtId="0" fontId="14" fillId="0" borderId="10" applyAlignment="1" pivotButton="0" quotePrefix="0" xfId="0">
      <alignment horizontal="left" vertical="center" wrapText="1"/>
    </xf>
    <xf numFmtId="0" fontId="4" fillId="0" borderId="10" applyAlignment="1" pivotButton="0" quotePrefix="0" xfId="0">
      <alignment horizontal="left" vertical="center" wrapText="1"/>
    </xf>
    <xf numFmtId="164" fontId="4" fillId="0" borderId="10" applyAlignment="1" pivotButton="0" quotePrefix="0" xfId="0">
      <alignment horizontal="left" vertical="center" wrapText="1"/>
    </xf>
    <xf numFmtId="0" fontId="19" fillId="0" borderId="10" applyAlignment="1" pivotButton="0" quotePrefix="0" xfId="0">
      <alignment horizontal="left" vertical="center" wrapText="1"/>
    </xf>
    <xf numFmtId="0" fontId="14" fillId="0" borderId="11" applyAlignment="1" pivotButton="0" quotePrefix="0" xfId="0">
      <alignment horizontal="center" vertical="center" wrapText="1"/>
    </xf>
    <xf numFmtId="0" fontId="14" fillId="0" borderId="10" applyAlignment="1" pivotButton="0" quotePrefix="0" xfId="53">
      <alignment horizontal="center" vertical="center" wrapText="1"/>
    </xf>
    <xf numFmtId="0" fontId="11" fillId="0" borderId="10" applyAlignment="1" pivotButton="0" quotePrefix="0" xfId="52">
      <alignment horizontal="center" vertical="center" shrinkToFit="1"/>
    </xf>
    <xf numFmtId="0" fontId="11" fillId="0" borderId="10" applyAlignment="1" pivotButton="0" quotePrefix="0" xfId="51">
      <alignment horizontal="left" vertical="center" wrapText="1"/>
    </xf>
    <xf numFmtId="0" fontId="14" fillId="0" borderId="10" applyAlignment="1" pivotButton="0" quotePrefix="0" xfId="51">
      <alignment horizontal="center" vertical="center" wrapText="1"/>
    </xf>
    <xf numFmtId="0" fontId="14" fillId="0" borderId="10" applyAlignment="1" pivotButton="0" quotePrefix="0" xfId="53">
      <alignment horizontal="center" vertical="center" wrapText="1"/>
    </xf>
    <xf numFmtId="0" fontId="13" fillId="0" borderId="10" applyAlignment="1" pivotButton="0" quotePrefix="0" xfId="0">
      <alignment horizontal="center" vertical="center"/>
    </xf>
    <xf numFmtId="0" fontId="13" fillId="0" borderId="10" applyAlignment="1" pivotButton="0" quotePrefix="0" xfId="0">
      <alignment horizontal="center" vertical="center" wrapText="1"/>
    </xf>
    <xf numFmtId="0" fontId="12" fillId="0" borderId="10" applyAlignment="1" pivotButton="0" quotePrefix="0" xfId="0">
      <alignment horizontal="center" vertical="center"/>
    </xf>
    <xf numFmtId="164" fontId="14" fillId="0" borderId="10" applyAlignment="1" pivotButton="0" quotePrefix="0" xfId="0">
      <alignment horizontal="center" vertical="center"/>
    </xf>
    <xf numFmtId="164" fontId="13" fillId="0" borderId="10" applyAlignment="1" pivotButton="0" quotePrefix="0" xfId="0">
      <alignment horizontal="center" vertical="center"/>
    </xf>
    <xf numFmtId="164" fontId="20" fillId="0" borderId="10" applyAlignment="1" pivotButton="0" quotePrefix="0" xfId="0">
      <alignment horizontal="center" vertical="center" wrapText="1"/>
    </xf>
    <xf numFmtId="164" fontId="13" fillId="0" borderId="10" applyAlignment="1" pivotButton="0" quotePrefix="0" xfId="0">
      <alignment horizontal="center" vertical="center" wrapText="1"/>
    </xf>
    <xf numFmtId="0" fontId="21" fillId="0" borderId="10" applyAlignment="1" pivotButton="0" quotePrefix="0" xfId="0">
      <alignment horizontal="left" vertical="top" wrapText="1"/>
    </xf>
    <xf numFmtId="0" fontId="3" fillId="0" borderId="10" applyAlignment="1" pivotButton="0" quotePrefix="0" xfId="0">
      <alignment horizontal="center" vertical="top" wrapText="1"/>
    </xf>
    <xf numFmtId="0" fontId="22" fillId="0" borderId="10" applyAlignment="1" pivotButton="0" quotePrefix="0" xfId="0">
      <alignment horizontal="left" vertical="top" wrapText="1"/>
    </xf>
    <xf numFmtId="0" fontId="1" fillId="0" borderId="10" applyAlignment="1" pivotButton="0" quotePrefix="0" xfId="0">
      <alignment horizontal="left" vertical="top" wrapText="1"/>
    </xf>
    <xf numFmtId="0" fontId="21" fillId="0" borderId="10" applyAlignment="1" pivotButton="0" quotePrefix="0" xfId="0">
      <alignment horizontal="center" vertical="center" wrapText="1"/>
    </xf>
    <xf numFmtId="0" fontId="21" fillId="0" borderId="10" applyAlignment="1" pivotButton="0" quotePrefix="0" xfId="0">
      <alignment horizontal="left" vertical="center"/>
    </xf>
    <xf numFmtId="0" fontId="3" fillId="0" borderId="10" applyAlignment="1" pivotButton="0" quotePrefix="0" xfId="0">
      <alignment horizontal="center" vertical="center" wrapText="1"/>
    </xf>
    <xf numFmtId="0" fontId="22" fillId="0" borderId="10" applyAlignment="1" pivotButton="0" quotePrefix="0" xfId="0">
      <alignment horizontal="left" vertical="center" wrapText="1"/>
    </xf>
    <xf numFmtId="0" fontId="21" fillId="0" borderId="12" applyAlignment="1" pivotButton="0" quotePrefix="0" xfId="0">
      <alignment horizontal="left" vertical="center"/>
    </xf>
    <xf numFmtId="0" fontId="21" fillId="0" borderId="13" applyAlignment="1" pivotButton="0" quotePrefix="0" xfId="0">
      <alignment horizontal="left" vertical="center"/>
    </xf>
    <xf numFmtId="0" fontId="1" fillId="0" borderId="13" applyAlignment="1" pivotButton="0" quotePrefix="0" xfId="0">
      <alignment horizontal="left" vertical="center"/>
    </xf>
    <xf numFmtId="0" fontId="21" fillId="0" borderId="13" applyAlignment="1" pivotButton="0" quotePrefix="0" xfId="0">
      <alignment horizontal="center" vertical="center"/>
    </xf>
    <xf numFmtId="0" fontId="21" fillId="0" borderId="13" applyAlignment="1" pivotButton="0" quotePrefix="0" xfId="0">
      <alignment horizontal="center" vertical="center" wrapText="1"/>
    </xf>
    <xf numFmtId="0" fontId="21" fillId="0" borderId="14" applyAlignment="1" pivotButton="0" quotePrefix="0" xfId="0">
      <alignment horizontal="center" vertical="center" wrapText="1"/>
    </xf>
    <xf numFmtId="0" fontId="21" fillId="0" borderId="10" applyAlignment="1" pivotButton="0" quotePrefix="0" xfId="0">
      <alignment horizontal="left" vertical="center" wrapText="1"/>
    </xf>
    <xf numFmtId="0" fontId="1" fillId="0" borderId="10" applyAlignment="1" pivotButton="0" quotePrefix="0" xfId="0">
      <alignment horizontal="left" vertical="center" wrapText="1"/>
    </xf>
    <xf numFmtId="0" fontId="21" fillId="0" borderId="12" applyAlignment="1" pivotButton="0" quotePrefix="0" xfId="0">
      <alignment horizontal="center" vertical="center" wrapText="1"/>
    </xf>
    <xf numFmtId="0" fontId="1" fillId="0" borderId="12" applyAlignment="1" pivotButton="0" quotePrefix="0" xfId="0">
      <alignment horizontal="left" vertical="center"/>
    </xf>
    <xf numFmtId="0" fontId="3" fillId="0" borderId="13" applyAlignment="1" pivotButton="0" quotePrefix="0" xfId="0">
      <alignment horizontal="center" vertical="center" wrapText="1"/>
    </xf>
    <xf numFmtId="0" fontId="4" fillId="0" borderId="13" applyAlignment="1" pivotButton="0" quotePrefix="0" xfId="0">
      <alignment horizontal="left" vertical="center" wrapText="1"/>
    </xf>
    <xf numFmtId="0" fontId="1" fillId="0" borderId="13" applyAlignment="1" pivotButton="0" quotePrefix="0" xfId="0">
      <alignment horizontal="center" vertical="center"/>
    </xf>
    <xf numFmtId="0" fontId="1" fillId="0" borderId="13" applyAlignment="1" pivotButton="0" quotePrefix="0" xfId="0">
      <alignment horizontal="center" vertical="center" wrapText="1"/>
    </xf>
    <xf numFmtId="0" fontId="1" fillId="0" borderId="14" applyAlignment="1" pivotButton="0" quotePrefix="0" xfId="0">
      <alignment horizontal="center" vertical="center" wrapText="1"/>
    </xf>
    <xf numFmtId="0" fontId="1" fillId="0" borderId="1" applyAlignment="1" pivotButton="0" quotePrefix="0" xfId="0">
      <alignment horizontal="left" vertical="center"/>
    </xf>
    <xf numFmtId="0" fontId="3" fillId="0" borderId="2" applyAlignment="1" pivotButton="0" quotePrefix="0" xfId="0">
      <alignment horizontal="center" vertical="center" wrapText="1"/>
    </xf>
    <xf numFmtId="0" fontId="4" fillId="0" borderId="2" applyAlignment="1" pivotButton="0" quotePrefix="0" xfId="0">
      <alignment horizontal="left" vertical="center" wrapText="1"/>
    </xf>
    <xf numFmtId="0" fontId="1" fillId="0" borderId="2" applyAlignment="1" pivotButton="0" quotePrefix="0" xfId="0">
      <alignment horizontal="left" vertical="center"/>
    </xf>
    <xf numFmtId="0" fontId="1" fillId="0" borderId="2" applyAlignment="1" pivotButton="0" quotePrefix="0" xfId="0">
      <alignment horizontal="center" vertical="center"/>
    </xf>
    <xf numFmtId="0" fontId="1" fillId="0" borderId="2" applyAlignment="1" pivotButton="0" quotePrefix="0" xfId="0">
      <alignment horizontal="center" vertical="center" wrapText="1"/>
    </xf>
    <xf numFmtId="0" fontId="1" fillId="0" borderId="3" applyAlignment="1" pivotButton="0" quotePrefix="0" xfId="0">
      <alignment horizontal="center" vertical="center" wrapText="1"/>
    </xf>
    <xf numFmtId="0" fontId="4" fillId="0" borderId="10" applyAlignment="1" pivotButton="0" quotePrefix="0" xfId="0">
      <alignment horizontal="left" vertical="top" wrapText="1"/>
    </xf>
    <xf numFmtId="0" fontId="0" fillId="0" borderId="0" pivotButton="0" quotePrefix="0" xfId="0"/>
    <xf numFmtId="0" fontId="5" fillId="0" borderId="11" applyAlignment="1" pivotButton="0" quotePrefix="0" xfId="0">
      <alignment horizontal="center" vertical="center"/>
    </xf>
    <xf numFmtId="0" fontId="0" fillId="0" borderId="2" pivotButton="0" quotePrefix="0" xfId="0"/>
    <xf numFmtId="0" fontId="0" fillId="0" borderId="3" pivotButton="0" quotePrefix="0" xfId="0"/>
    <xf numFmtId="0" fontId="46" fillId="33" borderId="23" applyAlignment="1" pivotButton="0" quotePrefix="0" xfId="0">
      <alignment horizontal="center" vertical="center"/>
    </xf>
    <xf numFmtId="0" fontId="1" fillId="0" borderId="9" applyAlignment="1" pivotButton="0" quotePrefix="0" xfId="0">
      <alignment horizontal="left" vertical="center" wrapText="1"/>
    </xf>
    <xf numFmtId="0" fontId="0" fillId="0" borderId="7" pivotButton="0" quotePrefix="0" xfId="0"/>
    <xf numFmtId="0" fontId="0" fillId="0" borderId="8" pivotButton="0" quotePrefix="0" xfId="0"/>
    <xf numFmtId="164" fontId="13" fillId="0" borderId="9" applyAlignment="1" pivotButton="0" quotePrefix="0" xfId="0">
      <alignment horizontal="center" vertical="center" wrapText="1"/>
    </xf>
    <xf numFmtId="164" fontId="1" fillId="0" borderId="10" applyAlignment="1" pivotButton="0" quotePrefix="0" xfId="0">
      <alignment horizontal="center" vertical="center" wrapText="1"/>
    </xf>
    <xf numFmtId="164" fontId="2" fillId="0" borderId="10" applyAlignment="1" pivotButton="0" quotePrefix="0" xfId="0">
      <alignment horizontal="center" vertical="center"/>
    </xf>
    <xf numFmtId="165" fontId="17" fillId="0" borderId="10" applyAlignment="1" pivotButton="0" quotePrefix="0" xfId="49">
      <alignment horizontal="center" vertical="center" wrapText="1"/>
    </xf>
    <xf numFmtId="2" fontId="0" fillId="0" borderId="0" pivotButton="0" quotePrefix="0" xfId="0"/>
    <xf numFmtId="164" fontId="4" fillId="0" borderId="10" applyAlignment="1" pivotButton="0" quotePrefix="0" xfId="0">
      <alignment horizontal="left" vertical="center" wrapText="1"/>
    </xf>
    <xf numFmtId="0" fontId="0" fillId="0" borderId="13" pivotButton="0" quotePrefix="0" xfId="0"/>
    <xf numFmtId="0" fontId="0" fillId="0" borderId="14" pivotButton="0" quotePrefix="0" xfId="0"/>
    <xf numFmtId="164" fontId="14" fillId="0" borderId="10" applyAlignment="1" pivotButton="0" quotePrefix="0" xfId="0">
      <alignment horizontal="center" vertical="center"/>
    </xf>
    <xf numFmtId="164" fontId="13" fillId="0" borderId="10" applyAlignment="1" pivotButton="0" quotePrefix="0" xfId="0">
      <alignment horizontal="center" vertical="center"/>
    </xf>
    <xf numFmtId="164" fontId="20" fillId="0" borderId="10" applyAlignment="1" pivotButton="0" quotePrefix="0" xfId="0">
      <alignment horizontal="center" vertical="center" wrapText="1"/>
    </xf>
    <xf numFmtId="164" fontId="13" fillId="0" borderId="10" applyAlignment="1" pivotButton="0" quotePrefix="0" xfId="0">
      <alignment horizontal="center" vertical="center" wrapText="1"/>
    </xf>
    <xf numFmtId="0" fontId="1" fillId="0" borderId="10" applyAlignment="1" pivotButton="0" quotePrefix="0" xfId="0">
      <alignment horizontal="left" vertical="center"/>
    </xf>
    <xf numFmtId="0" fontId="1" fillId="0" borderId="11" applyAlignment="1" pivotButton="0" quotePrefix="0" xfId="0">
      <alignment horizontal="left" vertical="center"/>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常规_AVAYA-PRICE-模板-v1" xfId="50"/>
    <cellStyle name="常规_AVAYA-PRICE-模板-v1_三号清单（监控系统） 2 2" xfId="51"/>
    <cellStyle name="常规_26楼综合布线系统报价" xfId="52"/>
    <cellStyle name="_清单报价-欢乐海岸" xfId="53"/>
    <cellStyle name="常规 3" xfId="5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fitToPage="1"/>
  </sheetPr>
  <dimension ref="A1:L66"/>
  <sheetViews>
    <sheetView tabSelected="1" view="pageBreakPreview" zoomScaleNormal="100" workbookViewId="0">
      <pane ySplit="4" topLeftCell="A36" activePane="bottomLeft" state="frozen"/>
      <selection activeCell="A1" sqref="A1"/>
      <selection pane="bottomLeft" activeCell="C38" sqref="C38"/>
    </sheetView>
  </sheetViews>
  <sheetFormatPr baseColWidth="8" defaultColWidth="9" defaultRowHeight="13.5"/>
  <cols>
    <col width="6.45833333333333" customWidth="1" style="3" min="1" max="1"/>
    <col width="16.2583333333333" customWidth="1" style="4" min="2" max="2"/>
    <col width="75.19166666666671" customWidth="1" style="5" min="3" max="3"/>
    <col width="6.90833333333333" customWidth="1" style="3" min="4" max="4"/>
    <col width="9.66666666666667" customWidth="1" style="3" min="5" max="5"/>
    <col width="13.4583333333333" customWidth="1" style="3" min="6" max="6"/>
    <col width="12.8166666666667" customWidth="1" style="6" min="7" max="7"/>
    <col width="14.0416666666667" customWidth="1" style="3" min="8" max="8"/>
    <col width="26.7666666666667" customWidth="1" style="7" min="9" max="9"/>
    <col width="20" customWidth="1" style="7" min="10" max="10"/>
    <col width="60" customWidth="1" style="3" min="11" max="16384"/>
    <col width="12" customWidth="1" style="97" min="12" max="12"/>
  </cols>
  <sheetData>
    <row r="1" ht="14.25" customHeight="1" s="97">
      <c r="A1" s="98" t="inlineStr">
        <is>
          <t>投标报价函</t>
        </is>
      </c>
      <c r="B1" s="99" t="n"/>
      <c r="C1" s="99" t="n"/>
      <c r="D1" s="99" t="n"/>
      <c r="E1" s="99" t="n"/>
      <c r="F1" s="99" t="n"/>
      <c r="G1" s="99" t="n"/>
      <c r="H1" s="99" t="n"/>
      <c r="I1" s="99" t="n"/>
      <c r="J1" s="100" t="n"/>
      <c r="K1" s="101" t="inlineStr">
        <is>
          <t>匹配设备</t>
        </is>
      </c>
      <c r="L1" s="101" t="inlineStr">
        <is>
          <t>单价</t>
        </is>
      </c>
    </row>
    <row r="2" customFormat="1" s="1">
      <c r="A2" s="14" t="inlineStr">
        <is>
          <t>中建三局安装工程有限公司华中大区：</t>
        </is>
      </c>
      <c r="B2" s="15" t="n"/>
      <c r="C2" s="16" t="n"/>
      <c r="D2" s="17" t="n"/>
      <c r="E2" s="17" t="n"/>
      <c r="F2" s="17" t="n"/>
      <c r="G2" s="18" t="n"/>
      <c r="H2" s="17" t="n"/>
      <c r="I2" s="19" t="n"/>
      <c r="J2" s="20" t="n"/>
      <c r="K2" t="inlineStr"/>
      <c r="L2" t="inlineStr"/>
    </row>
    <row r="3" customFormat="1" s="1">
      <c r="A3" s="102" t="inlineStr">
        <is>
          <t>1、根据已收到武汉新城科创金融总部一期（首期）项目建筑设备监控及能源管理系统专业分包工程的招标文件，我单位经考察现场和研究上述工程招标文件后，我方报价如下：</t>
        </is>
      </c>
      <c r="B3" s="103" t="n"/>
      <c r="C3" s="103" t="n"/>
      <c r="D3" s="103" t="n"/>
      <c r="E3" s="103" t="n"/>
      <c r="F3" s="103" t="n"/>
      <c r="G3" s="103" t="n"/>
      <c r="H3" s="103" t="n"/>
      <c r="I3" s="103" t="n"/>
      <c r="J3" s="104" t="n"/>
      <c r="K3" t="inlineStr"/>
      <c r="L3" t="inlineStr"/>
    </row>
    <row r="4" ht="28.5" customHeight="1" s="97">
      <c r="A4" s="27" t="inlineStr">
        <is>
          <t>序号</t>
        </is>
      </c>
      <c r="B4" s="28" t="inlineStr">
        <is>
          <t>项目名称</t>
        </is>
      </c>
      <c r="C4" s="29" t="inlineStr">
        <is>
          <t>项目特征</t>
        </is>
      </c>
      <c r="D4" s="27" t="inlineStr">
        <is>
          <t>单位</t>
        </is>
      </c>
      <c r="E4" s="27" t="inlineStr">
        <is>
          <t>工程量</t>
        </is>
      </c>
      <c r="F4" s="30" t="inlineStr">
        <is>
          <t>综合单价（不含税）</t>
        </is>
      </c>
      <c r="G4" s="105" t="inlineStr">
        <is>
          <t>合价    （不含税）</t>
        </is>
      </c>
      <c r="H4" s="105" t="inlineStr">
        <is>
          <t>工程量计算规则</t>
        </is>
      </c>
      <c r="I4" s="105" t="inlineStr">
        <is>
          <t>工作内容</t>
        </is>
      </c>
      <c r="J4" s="32" t="inlineStr">
        <is>
          <t>备注</t>
        </is>
      </c>
      <c r="K4" t="inlineStr"/>
      <c r="L4" t="inlineStr"/>
    </row>
    <row r="5" customFormat="1" s="2">
      <c r="A5" s="33" t="n"/>
      <c r="B5" s="34" t="inlineStr">
        <is>
          <t>能源管理系统</t>
        </is>
      </c>
      <c r="C5" s="35" t="n"/>
      <c r="D5" s="36" t="n"/>
      <c r="E5" s="106" t="n"/>
      <c r="F5" s="38" t="n"/>
      <c r="G5" s="107" t="n"/>
      <c r="H5" s="40" t="n"/>
      <c r="I5" s="108" t="n"/>
      <c r="J5" s="42" t="n"/>
      <c r="K5" t="inlineStr"/>
      <c r="L5" t="inlineStr"/>
    </row>
    <row r="6" ht="33.75" customFormat="1" customHeight="1" s="2">
      <c r="A6" s="43" t="n">
        <v>1</v>
      </c>
      <c r="B6" s="44" t="inlineStr">
        <is>
          <t>管理电脑</t>
        </is>
      </c>
      <c r="C6" s="45" t="inlineStr">
        <is>
          <t>1.名称:管理电脑
2、规格型号：I5/8G内存/2G独显，21.5寸带显示器，含键鼠
3.施工要求：按照图纸、规范及清单要求配置并施工调试到位，并达到验收使用要求</t>
        </is>
      </c>
      <c r="D6" s="46" t="inlineStr">
        <is>
          <t>台</t>
        </is>
      </c>
      <c r="E6" s="47" t="n">
        <v>1</v>
      </c>
      <c r="F6" s="38" t="n"/>
      <c r="G6" s="107">
        <f>E6*F6</f>
        <v/>
      </c>
      <c r="H6" s="40" t="n"/>
      <c r="I6" s="48" t="inlineStr">
        <is>
          <t>含该项施工内容所包含的全部主材、辅材及配件的采购、运输、保管，转运及施工，施龚满足设计及规范要求并通过验收</t>
        </is>
      </c>
      <c r="J6" s="42" t="n"/>
      <c r="K6" t="inlineStr"/>
      <c r="L6" s="109" t="n">
        <v>0</v>
      </c>
    </row>
    <row r="7" ht="168.75" customFormat="1" customHeight="1" s="2">
      <c r="A7" s="43" t="n">
        <v>2</v>
      </c>
      <c r="B7" s="49" t="inlineStr">
        <is>
          <t>能耗数据采集器</t>
        </is>
      </c>
      <c r="C7" s="45" t="inlineStr">
        <is>
          <t>1.名称:数据采集器
2.规格参数：
（1)对各类计量仪表进行能耗采集及分组管理，可兼容不同厂家仪表；采用开源的Linux系统运行，来保证采集网关数据处理能力及时准确；
（2)工作电压：AC220V±10%，50Hz；功耗≤10W；
（3)通讯波特率：RS485：600～115200bps；M-Bus：600～9600bps
（4)上行通信方式：TCP/IP，一路RJ45接口；
（5)下行有多个通信通道，包括RS485、M-Bus等接口；最大可支持16串口，一路网口；
（6)储存空间256MB NAND FLASH，最大支持32G本地数据存储；
（7)可设定数据上传周期，最小可设置为1分钟；在离线时不丢失数据，上线后断点续传；
（8)具有良好的扩展性和灵活性;
（9)支持远程更新升级、配置、数据实时监控，减少现场维护工作，支持远程校时功能；
（10)支持数据压缩上传；支持同时往3个以上系统上传数据；
（11)符合国家机关办公建筑和大型公共建筑能耗监测系统技术导则要求。
3.施工要求：按照图纸、规范及清单要求配置并施工调试到位，并达到验收使用要求</t>
        </is>
      </c>
      <c r="D7" s="46" t="inlineStr">
        <is>
          <t>套</t>
        </is>
      </c>
      <c r="E7" s="47" t="n">
        <v>36</v>
      </c>
      <c r="F7" s="38" t="n"/>
      <c r="G7" s="107">
        <f>E7*F7</f>
        <v/>
      </c>
      <c r="H7" s="40" t="n"/>
      <c r="I7" s="48" t="inlineStr">
        <is>
          <t>含该项施工内容所包含的全部主材、辅材及配件的采购、运输、保管，转运及施工，施龚满足设计及规范要求并通过验收</t>
        </is>
      </c>
      <c r="J7" s="42" t="inlineStr">
        <is>
          <t>安科瑞、派诺、深圳中电</t>
        </is>
      </c>
      <c r="K7" t="inlineStr"/>
      <c r="L7" s="109" t="n">
        <v>0</v>
      </c>
    </row>
    <row r="8" ht="78.75" customFormat="1" customHeight="1" s="2">
      <c r="A8" s="43" t="n">
        <v>3</v>
      </c>
      <c r="B8" s="49" t="inlineStr">
        <is>
          <t>多联机采集器</t>
        </is>
      </c>
      <c r="C8" s="45" t="inlineStr">
        <is>
          <t>1.名称:多联机采集器
2.功能要求：
（1）能够采集当前空调的状态信息；
（2）对空调的运行状态进行控制，实现空调开机、关机、制冷、制热、送风、除湿等功能。
（3）监测空调故障；
（4）空调控制器与智能网关通讯模式为485，通讯协议为MODBUS-RTU
3.施工要求：按照图纸、规范及清单要求配置并施工调试到位，并达到验收使用要求</t>
        </is>
      </c>
      <c r="D8" s="46" t="inlineStr">
        <is>
          <t>套</t>
        </is>
      </c>
      <c r="E8" s="47" t="n">
        <v>177</v>
      </c>
      <c r="F8" s="38" t="n"/>
      <c r="G8" s="107">
        <f>E8*F8</f>
        <v/>
      </c>
      <c r="H8" s="40" t="n"/>
      <c r="I8" s="48" t="inlineStr">
        <is>
          <t>含该项施工内容所包含的全部主材、辅材及配件的采购、运输、保管，转运及施工，施龚满足设计及规范要求并通过验收</t>
        </is>
      </c>
      <c r="J8" s="42" t="inlineStr">
        <is>
          <t>安科瑞、派诺、深圳中电</t>
        </is>
      </c>
      <c r="K8" t="inlineStr"/>
      <c r="L8" s="109" t="n">
        <v>0</v>
      </c>
    </row>
    <row r="9" ht="45" customFormat="1" customHeight="1" s="2">
      <c r="A9" s="43" t="n">
        <v>4</v>
      </c>
      <c r="B9" s="44" t="inlineStr">
        <is>
          <t>采集器箱</t>
        </is>
      </c>
      <c r="C9" s="45" t="inlineStr">
        <is>
          <t>1.名称:采集器箱
2.规格：规格型号满足图纸及规范要求
3.施工内容：含箱体、配套支架、防火封堵等
4.施工要求:按照图纸、规范及清单要求配置并施工调试到位，并达到验收使用要求</t>
        </is>
      </c>
      <c r="D9" s="46" t="inlineStr">
        <is>
          <t>台</t>
        </is>
      </c>
      <c r="E9" s="47" t="n">
        <v>36</v>
      </c>
      <c r="F9" s="38" t="n"/>
      <c r="G9" s="107">
        <f>E9*F9</f>
        <v/>
      </c>
      <c r="H9" s="40" t="n"/>
      <c r="I9" s="48" t="inlineStr">
        <is>
          <t>含该项施工内容所包含的全部主材、辅材及配件的采购、运输、保管，转运及施工，施龚满足设计及规范要求并通过验收</t>
        </is>
      </c>
      <c r="J9" s="42" t="n"/>
      <c r="K9" t="inlineStr"/>
      <c r="L9" s="109" t="n">
        <v>0</v>
      </c>
    </row>
    <row r="10" ht="45" customFormat="1" customHeight="1" s="2">
      <c r="A10" s="43" t="n">
        <v>5</v>
      </c>
      <c r="B10" s="49" t="inlineStr">
        <is>
          <t>能源管理服务器</t>
        </is>
      </c>
      <c r="C10" s="50" t="inlineStr">
        <is>
          <t>1.名称:能源管理服务器
2.规格型号:I5，4G，1T、带HDMI,VGA,DVI接口，带2G独显，带19.5寸显示器
3.施工内容：含箱体、配套支架、防火封堵等
4.施工要求:按照图纸、规范及清单要求配置并施工调试到位，并达到验收使用要求</t>
        </is>
      </c>
      <c r="D10" s="46" t="inlineStr">
        <is>
          <t>台</t>
        </is>
      </c>
      <c r="E10" s="47" t="n">
        <v>1</v>
      </c>
      <c r="F10" s="38" t="n"/>
      <c r="G10" s="107">
        <f>E10*F10</f>
        <v/>
      </c>
      <c r="H10" s="40" t="n"/>
      <c r="I10" s="48" t="inlineStr">
        <is>
          <t>含该项施工内容所包含的全部主材、辅材及配件的采购、运输、保管，转运及施工，施龚满足设计及规范要求并通过验收</t>
        </is>
      </c>
      <c r="J10" s="42" t="inlineStr">
        <is>
          <t>华为、中兴、浪潮</t>
        </is>
      </c>
      <c r="K10" t="inlineStr"/>
      <c r="L10" s="109" t="n">
        <v>0</v>
      </c>
    </row>
    <row r="11" ht="33.75" customFormat="1" customHeight="1" s="2">
      <c r="A11" s="43" t="n">
        <v>6</v>
      </c>
      <c r="B11" s="49" t="inlineStr">
        <is>
          <t>能源管理操作电脑</t>
        </is>
      </c>
      <c r="C11" s="50" t="inlineStr">
        <is>
          <t>1.名称:能源管理操作电脑
2、规格型号：I5/8G内存/2G独显，带显示器
3.施工要求:按照图纸、规范及清单要求配置并施工调试到位，并达到验收使用要求</t>
        </is>
      </c>
      <c r="D11" s="46" t="inlineStr">
        <is>
          <t>台</t>
        </is>
      </c>
      <c r="E11" s="47" t="n">
        <v>1</v>
      </c>
      <c r="F11" s="38" t="n"/>
      <c r="G11" s="107">
        <f>E11*F11</f>
        <v/>
      </c>
      <c r="H11" s="40" t="n"/>
      <c r="I11" s="48" t="inlineStr">
        <is>
          <t>含该项施工内容所包含的全部主材、辅材及配件的采购、运输、保管，转运及施工，施龚满足设计及规范要求并通过验收</t>
        </is>
      </c>
      <c r="J11" s="42" t="n"/>
      <c r="K11" t="inlineStr"/>
      <c r="L11" s="109" t="n">
        <v>0</v>
      </c>
    </row>
    <row r="12" ht="409.5" customFormat="1" customHeight="1" s="2">
      <c r="A12" s="43" t="n">
        <v>7</v>
      </c>
      <c r="B12" s="49" t="inlineStr">
        <is>
          <t>能源管理系统软件</t>
        </is>
      </c>
      <c r="C12" s="49" t="inlineStr">
        <is>
          <t>1.名称:能源管理系统软件
2、功能要求：
（1）B/S架构，支持跨系统部署，能同时支持Windows及Linux操作系统，支持国产操作系统和CPU，用的第三方数据库应是开源免费版本或信创数据库。
（2）系统能通过浏览器访问，系统需具备提供国家企业碳排放ISO14064报告，支持多客户端访问，多客户并发访问能力&gt;=50，可支持手机APP访问。
（4）系统时钟误差&lt;±5毫秒 ，页面数据刷新最快1S，准确率:平均无故障时间（MTBF）&gt;40000小时；系统总体大于30000小时。
功能：
（5）电能统计：系统应提供电能集抄功能，可根据要求选择一个或多个配电回路，抄表的时间区间可按需选择，精度到一分钟；支持按小时、日、月抄表，且抄表的间隔可灵活设置，报表上同时显示示数值和抄表时间区间的电能值，同时支持电费统计，报表支持EXCEL导出；支持对单个或多个用电回路按照小时、日、月统计用电数据，统计结果支持表格、图表显示，表格数据支持导出至EXCEL；支持以柱状图形式显示多个配电回路小时、日、月用电量排行，选择多个配电回路按小时、日、月统计用电量，并以饼图形式显示用能占比；支持分时段（尖、峰、平、谷、深谷，最大支持8时段）用能统计及电费计算，统计的日期区间可灵活选择并且支持月度电价设置，可根据每月的实际情况提醒用户设置各时段或单一电价；系统支持通过平台下发复费率时段，仪表型号需满足限定范围并支持时段下发功能；支持对配电回路日、周、月用电量进行环比分析，体现环比的增长或降低的值和百分比，并支持柱状图显示；支持将多个配电回路进行组合，并设置组合内配电回路用电量的加、减关系，系统自动统计组合的用电量，并以表格和图表的形式显示。
（6）能耗分析：应支持对电、水、气、集中供冷供热等分类能耗的能源管网进行实时在线监测；系统应支持对分类能耗按小时、日、月年统计用能，且可设置能源单价，统计能源费用；支持将各分类能耗按照规定的折标系数折算成标准煤消耗，并按照日、月、年统计；系统应支持将电按照空调、照明、动力、特殊进行分项统计，支持按照部门、区域等进行分组统计，分组方式可灵活定义；对于不方便自动采集的能源类型，系统应支持手工录入的功能，支持对能耗支路同环比分析的功能；系统应支持支路能耗限值功能，用能值越限则进行系统报警。系统应支持根据能源统计和系数转换统一折标量或碳排放查看系统应支持批量补录集抄值、有功用能值；系统应支持同周期内数据对比功能；系统应提供可视化的报表制作和报表浏览界面，可通过报表设计器快速定制报表，结合柱状图、折线图、饼图等图表元件，生成数形结合、图文并茂的报表样式；报表采用报表设计器工具，采用基于Excel进行报表模板编辑，兼容所有Excel公式与函数，支持报表行列动态生成、单元格合并及函数编辑、跨sheet单元格联合计算等，方便企业自定义编辑所需报表类型及格式，编辑完成后的模板可在系统上生成相应的报表；系统支持报表与系统权限无缝集成，可为每张报表配置可访问角色，实现报表内容的差异化展示；系统支持由Exce1保留源格式导入创作报表，报表内容支持导出成Exce1表格；
（7）预付费管理：支持每块仪表单独计价，电价支持单一电价、复费率电价；支持财务集中管理，充值金额实时下发，并比对充值次数防止作弊；当金额不足或金额欠费，可手机短信提醒，并至少可设三级预警；支持微信和支付宝无人值守，自助支付售电，用户能查询自己的充值记录和用电记录；可对任意一块电表执行远程拉闸或欠费保电等一系列远程控制操作；电表状态实时监控：可以实时展示所有电表状态，比如剩余金额、电量总数、数据更新时间、电表模式、报警状态、回路分合闸状态等;提供立即或者定时的批量操作控制，比如修改电价、充值、报警设置、分合闸控制等;提供自定义收费功能，可以自行添加收费方案，设定单次扣除或周期性扣除，帮助物业方解决物业费、房租等费用欠收问题;支持复费率电价机制调整后收费时段和费率设置通过后台统一下发给所有计费仪表。
（8）空调管理：可以实现实时状态查询（开关机、运转模式、风速、设定温度和环境温度）；能够监测到空调故障历史记录等内容；支持查询内机运行时长报表；支持空调内机根据有效运行时长分摊计算用电量，导出用电报表。
3.施工要求:按照图纸、规范及清单要求配置并施工调试到位，并达到验收使用要求</t>
        </is>
      </c>
      <c r="D12" s="46" t="inlineStr">
        <is>
          <t>套</t>
        </is>
      </c>
      <c r="E12" s="46" t="n">
        <v>1</v>
      </c>
      <c r="F12" s="38" t="n"/>
      <c r="G12" s="107">
        <f>E12*F12</f>
        <v/>
      </c>
      <c r="H12" s="40" t="n"/>
      <c r="I12" s="48" t="inlineStr">
        <is>
          <t>含该项施工内容所包含的全部主材、辅材及配件的采购、运输、保管，转运及施工，施龚满足设计及规范要求并通过验收</t>
        </is>
      </c>
      <c r="J12" s="42" t="inlineStr">
        <is>
          <t>安科瑞、派诺、深圳中电</t>
        </is>
      </c>
      <c r="K12" t="inlineStr"/>
      <c r="L12" s="109" t="n">
        <v>0</v>
      </c>
    </row>
    <row r="13" ht="45" customFormat="1" customHeight="1" s="2">
      <c r="A13" s="43" t="n">
        <v>8</v>
      </c>
      <c r="B13" s="49" t="inlineStr">
        <is>
          <t>能源管理系统调试及试运行</t>
        </is>
      </c>
      <c r="C13" s="45" t="inlineStr">
        <is>
          <t>1、名称；能源管理系统试运行
2、施工要求：确保能源管理全系统调试合格，实现全系统设备、软件联动运行，达到图纸、规范要求的使用功能及要求。后期试运行保证过程中进行全系统跟踪监测，确保后期运营过程中无故障
3.施工要求:按照图纸、规范及清单要求配置并施工调试到位，并达到验收使用要求</t>
        </is>
      </c>
      <c r="D13" s="46" t="inlineStr">
        <is>
          <t>项</t>
        </is>
      </c>
      <c r="E13" s="46" t="n">
        <v>1</v>
      </c>
      <c r="F13" s="38" t="n"/>
      <c r="G13" s="107">
        <f>E13*F13</f>
        <v/>
      </c>
      <c r="H13" s="40" t="n"/>
      <c r="I13" s="48" t="inlineStr">
        <is>
          <t>含该项施工内容所包含的全部主材、辅材及配件的采购、运输、保管，转运及施工，施龚满足设计及规范要求并通过验收</t>
        </is>
      </c>
      <c r="J13" s="42" t="n"/>
      <c r="K13" t="inlineStr"/>
      <c r="L13" s="109" t="n">
        <v>0</v>
      </c>
    </row>
    <row r="14" ht="45" customFormat="1" customHeight="1" s="2">
      <c r="A14" s="43" t="n">
        <v>9</v>
      </c>
      <c r="B14" s="49" t="inlineStr">
        <is>
          <t>配线</t>
        </is>
      </c>
      <c r="C14" s="110" t="inlineStr">
        <is>
          <t>1.名称:通讯线
2.型号、规格、材质:ZR-RYSP-2*1.0
3、施工内容：含线缆及对应辅材及配件的采购及敷设安装，接线头及对应辅材及配件采购并完成压接。
4、施工要求:按照图纸、规范及清单要求配置并施工调试到位，并达到验收使用要求。</t>
        </is>
      </c>
      <c r="D14" s="46" t="inlineStr">
        <is>
          <t>m</t>
        </is>
      </c>
      <c r="E14" s="46">
        <f>2156.08+40*177</f>
        <v/>
      </c>
      <c r="F14" s="38" t="n"/>
      <c r="G14" s="107">
        <f>E14*F14</f>
        <v/>
      </c>
      <c r="H14" s="40" t="n"/>
      <c r="I14" s="48" t="inlineStr">
        <is>
          <t>含该项施工内容所包含的全部主材、辅材及配件的采购、运输、保管，转运及施工，施龚满足设计及规范要求并通过验收</t>
        </is>
      </c>
      <c r="J14" s="42" t="n"/>
      <c r="K14" t="inlineStr"/>
      <c r="L14" s="109" t="n">
        <v>0</v>
      </c>
    </row>
    <row r="15" ht="45" customFormat="1" customHeight="1" s="2">
      <c r="A15" s="43" t="n">
        <v>10</v>
      </c>
      <c r="B15" s="49" t="inlineStr">
        <is>
          <t>配线</t>
        </is>
      </c>
      <c r="C15" s="50" t="inlineStr">
        <is>
          <t>1.名称:电源线
2.型号、规格、材质:ZR-RYY2*1.0
3、施工内容：含线缆及对应辅材及配件的采购及敷设安装，接线头及对应辅材及配件采购并完成压接。
4、施工要求:按照图纸、规范及清单要求配置并施工调试到位，并达到验收使用要求。</t>
        </is>
      </c>
      <c r="D15" s="46" t="inlineStr">
        <is>
          <t>m</t>
        </is>
      </c>
      <c r="E15" s="46">
        <f>4026.57+40*177</f>
        <v/>
      </c>
      <c r="F15" s="38" t="n"/>
      <c r="G15" s="107">
        <f>E15*F15</f>
        <v/>
      </c>
      <c r="H15" s="40" t="n"/>
      <c r="I15" s="48" t="inlineStr">
        <is>
          <t>含该项施工内容所包含的全部主材、辅材及配件的采购、运输、保管，转运及施工，施龚满足设计及规范要求并通过验收</t>
        </is>
      </c>
      <c r="J15" s="42" t="n"/>
      <c r="K15" t="inlineStr"/>
      <c r="L15" s="109" t="n">
        <v>0</v>
      </c>
    </row>
    <row r="16" ht="45" customFormat="1" customHeight="1" s="2">
      <c r="A16" s="43" t="n">
        <v>11</v>
      </c>
      <c r="B16" s="49" t="inlineStr">
        <is>
          <t>配线</t>
        </is>
      </c>
      <c r="C16" s="50" t="inlineStr">
        <is>
          <t>1.名称:电源线
2.型号、规格、材质::WDZB1-BYJ2.5
3、施工内容：含线缆及对应辅材及配件的采购及敷设安装，接线头及对应辅材及配件采购并完成压接。
4、施工要求:按照图纸、规范及清单要求配置并施工调试到位，并达到验收使用要求。</t>
        </is>
      </c>
      <c r="D16" s="46" t="inlineStr">
        <is>
          <t>m</t>
        </is>
      </c>
      <c r="E16" s="46" t="n">
        <v>1500</v>
      </c>
      <c r="F16" s="38" t="n"/>
      <c r="G16" s="107">
        <f>E16*F16</f>
        <v/>
      </c>
      <c r="H16" s="40" t="n"/>
      <c r="I16" s="48" t="inlineStr">
        <is>
          <t>含该项施工内容所包含的全部主材、辅材及配件的采购、运输、保管，转运及施工，施龚满足设计及规范要求并通过验收</t>
        </is>
      </c>
      <c r="J16" s="42" t="n"/>
      <c r="K16" t="inlineStr"/>
      <c r="L16" s="109" t="n">
        <v>0</v>
      </c>
    </row>
    <row r="17" ht="45" customFormat="1" customHeight="1" s="2">
      <c r="A17" s="43" t="n">
        <v>12</v>
      </c>
      <c r="B17" s="49" t="inlineStr">
        <is>
          <t>六类网线</t>
        </is>
      </c>
      <c r="C17" s="50" t="inlineStr">
        <is>
          <t>1.名称:六类网线
2.型号、规格、材质:CAT6
3、施工内容：含线缆及对应辅材及配件的采购及敷设安装，接线头及对应辅材及配件采购并完成压接。
4、施工要求:按照图纸、规范及清单要求配置并施工调试到位，并达到验收使用要求。</t>
        </is>
      </c>
      <c r="D17" s="46" t="inlineStr">
        <is>
          <t>m</t>
        </is>
      </c>
      <c r="E17" s="46" t="n">
        <v>500</v>
      </c>
      <c r="F17" s="38" t="n"/>
      <c r="G17" s="107">
        <f>E17*F17</f>
        <v/>
      </c>
      <c r="H17" s="40" t="n"/>
      <c r="I17" s="48" t="inlineStr">
        <is>
          <t>含该项施工内容所包含的全部主材、辅材及配件的采购、运输、保管，转运及施工，施龚满足设计及规范要求并通过验收</t>
        </is>
      </c>
      <c r="J17" s="42" t="n"/>
      <c r="K17" t="inlineStr"/>
      <c r="L17" s="109" t="n">
        <v>0</v>
      </c>
    </row>
    <row r="18" ht="45" customFormat="1" customHeight="1" s="2">
      <c r="A18" s="43" t="n">
        <v>13</v>
      </c>
      <c r="B18" s="49" t="inlineStr">
        <is>
          <t>配管</t>
        </is>
      </c>
      <c r="C18" s="50" t="inlineStr">
        <is>
          <t>1.名称:电气配管
2.规格材质:JDG20
3.敷设方式:明配
4.其它:参照设计说明及相关规范要求执行</t>
        </is>
      </c>
      <c r="D18" s="46" t="inlineStr">
        <is>
          <t>m</t>
        </is>
      </c>
      <c r="E18" s="46">
        <f>495.89+177*10</f>
        <v/>
      </c>
      <c r="F18" s="38" t="n"/>
      <c r="G18" s="107">
        <f>E18*F18</f>
        <v/>
      </c>
      <c r="H18" s="40" t="n"/>
      <c r="I18" s="48" t="inlineStr">
        <is>
          <t>含该项施工内容所包含的全部主材、辅材及配件的采购、运输、保管，转运及施工，施龚满足设计及规范要求并通过验收</t>
        </is>
      </c>
      <c r="J18" s="42" t="n"/>
      <c r="K18" t="inlineStr"/>
      <c r="L18" s="109" t="n">
        <v>0</v>
      </c>
    </row>
    <row r="19" ht="45" customFormat="1" customHeight="1" s="2">
      <c r="A19" s="43" t="n">
        <v>14</v>
      </c>
      <c r="B19" s="44" t="inlineStr">
        <is>
          <t>配管</t>
        </is>
      </c>
      <c r="C19" s="45" t="inlineStr">
        <is>
          <t>1.名称:电气配管
2.规格材质:JDG25
3.敷设方式:明配
4.其它:参照设计说明及相关规范要求执行</t>
        </is>
      </c>
      <c r="D19" s="46" t="inlineStr">
        <is>
          <t>m</t>
        </is>
      </c>
      <c r="E19" s="47" t="n">
        <v>340.98</v>
      </c>
      <c r="F19" s="38" t="n"/>
      <c r="G19" s="107">
        <f>E19*F19</f>
        <v/>
      </c>
      <c r="H19" s="40" t="n"/>
      <c r="I19" s="48" t="inlineStr">
        <is>
          <t>含该项施工内容所包含的全部主材、辅材及配件的采购、运输、保管，转运及施工，施龚满足设计及规范要求并通过验收</t>
        </is>
      </c>
      <c r="J19" s="42" t="n"/>
      <c r="K19" t="inlineStr"/>
      <c r="L19" s="109" t="n">
        <v>0</v>
      </c>
    </row>
    <row r="20" ht="39" customFormat="1" customHeight="1" s="2">
      <c r="A20" s="43" t="n">
        <v>15</v>
      </c>
      <c r="B20" s="44" t="inlineStr">
        <is>
          <t>配管</t>
        </is>
      </c>
      <c r="C20" s="52" t="inlineStr">
        <is>
          <t>1.名称:金属软管
2.规格材质:DN25
3.敷设方式:明配
4.其它:参照设计说明及相关规范要求执行</t>
        </is>
      </c>
      <c r="D20" s="46" t="inlineStr">
        <is>
          <t>m</t>
        </is>
      </c>
      <c r="E20" s="47" t="n">
        <v>177</v>
      </c>
      <c r="F20" s="38" t="n"/>
      <c r="G20" s="107">
        <f>E20*F20</f>
        <v/>
      </c>
      <c r="H20" s="40" t="n"/>
      <c r="I20" s="48" t="inlineStr">
        <is>
          <t>含该项施工内容所包含的全部主材、辅材及配件的采购、运输、保管，转运及施工，施龚满足设计及规范要求并通过验收</t>
        </is>
      </c>
      <c r="J20" s="42" t="n"/>
      <c r="K20" t="inlineStr"/>
      <c r="L20" s="109" t="n">
        <v>0</v>
      </c>
    </row>
    <row r="21" ht="39" customFormat="1" customHeight="1" s="2">
      <c r="A21" s="43" t="n">
        <v>16</v>
      </c>
      <c r="B21" s="44" t="inlineStr">
        <is>
          <t>接线盒</t>
        </is>
      </c>
      <c r="C21" s="52" t="inlineStr">
        <is>
          <t>1.名称:接线盒
2.规格材质:钢制86型
3.敷设方式:明配
4.其它:参照设计说明及相关规范要求执行</t>
        </is>
      </c>
      <c r="D21" s="46" t="inlineStr">
        <is>
          <t>个</t>
        </is>
      </c>
      <c r="E21" s="47" t="n">
        <v>177</v>
      </c>
      <c r="F21" s="38" t="n"/>
      <c r="G21" s="107">
        <f>E21*F21</f>
        <v/>
      </c>
      <c r="H21" s="40" t="n"/>
      <c r="I21" s="48" t="inlineStr">
        <is>
          <t>含该项施工内容所包含的全部主材、辅材及配件的采购、运输、保管，转运及施工，施龚满足设计及规范要求并通过验收</t>
        </is>
      </c>
      <c r="J21" s="42" t="n"/>
      <c r="K21" t="inlineStr"/>
      <c r="L21" s="109" t="n">
        <v>0</v>
      </c>
    </row>
    <row r="22" ht="12" customFormat="1" customHeight="1" s="2">
      <c r="A22" s="43" t="n">
        <v>17</v>
      </c>
      <c r="B22" s="34" t="inlineStr">
        <is>
          <t>建筑设备监控系统</t>
        </is>
      </c>
      <c r="C22" s="45" t="n"/>
      <c r="D22" s="46" t="n"/>
      <c r="E22" s="47" t="n"/>
      <c r="F22" s="38" t="n"/>
      <c r="G22" s="107" t="n"/>
      <c r="H22" s="40" t="n"/>
      <c r="I22" s="48" t="n"/>
      <c r="J22" s="42" t="n"/>
      <c r="K22" t="inlineStr"/>
      <c r="L22" t="inlineStr"/>
    </row>
    <row r="23" ht="33.75" customFormat="1" customHeight="1" s="2">
      <c r="A23" s="43" t="n">
        <v>18</v>
      </c>
      <c r="B23" s="49" t="inlineStr">
        <is>
          <t>管理电脑</t>
        </is>
      </c>
      <c r="C23" s="45" t="inlineStr">
        <is>
          <t>1.名称:管理电脑
2、规格型号：I5/8G内存/2G独显，21.5寸带显示器，含键鼠
3.施工要求:按照图纸、规范及清单要求配置并施工调试到位，并达到验收使用要求</t>
        </is>
      </c>
      <c r="D23" s="46" t="inlineStr">
        <is>
          <t>台</t>
        </is>
      </c>
      <c r="E23" s="47" t="n">
        <v>1</v>
      </c>
      <c r="F23" s="38" t="n"/>
      <c r="G23" s="107">
        <f>E23*F23</f>
        <v/>
      </c>
      <c r="H23" s="40" t="n"/>
      <c r="I23" s="48" t="inlineStr">
        <is>
          <t>含该项施工内容所包含的全部主材、辅材及配件的采购、运输、保管，转运及施工，施龚满足设计及规范要求并通过验收</t>
        </is>
      </c>
      <c r="J23" s="53" t="n"/>
      <c r="K23" t="inlineStr"/>
      <c r="L23" s="109" t="n">
        <v>0</v>
      </c>
    </row>
    <row r="24" ht="33.75" customFormat="1" customHeight="1" s="2">
      <c r="A24" s="43" t="n">
        <v>19</v>
      </c>
      <c r="B24" s="44" t="inlineStr">
        <is>
          <t>服务器</t>
        </is>
      </c>
      <c r="C24" s="45" t="inlineStr">
        <is>
          <t>1.名称、材质、规格:服务器；CPU：六核,12线程
2.规格参数：内存：8G硬盘：2T
3.施工要求:按照图纸、规范及清单要求配置并施工调试到位，并达到验收使用要求</t>
        </is>
      </c>
      <c r="D24" s="46" t="inlineStr">
        <is>
          <t>台</t>
        </is>
      </c>
      <c r="E24" s="47" t="n">
        <v>1</v>
      </c>
      <c r="F24" s="38" t="n"/>
      <c r="G24" s="107">
        <f>E24*F24</f>
        <v/>
      </c>
      <c r="H24" s="40" t="n"/>
      <c r="I24" s="48" t="inlineStr">
        <is>
          <t>含该项施工内容所包含的全部主材、辅材及配件的采购、运输、保管，转运及施工，施龚满足设计及规范要求并通过验收</t>
        </is>
      </c>
      <c r="J24" s="42" t="inlineStr">
        <is>
          <t>华为、中兴、浪潮</t>
        </is>
      </c>
      <c r="K24" t="inlineStr"/>
      <c r="L24" s="109" t="n">
        <v>0</v>
      </c>
    </row>
    <row r="25" ht="112.5" customFormat="1" customHeight="1" s="2">
      <c r="A25" s="43" t="n">
        <v>20</v>
      </c>
      <c r="B25" s="49" t="inlineStr">
        <is>
          <t>中央监控软件包</t>
        </is>
      </c>
      <c r="C25" s="45" t="inlineStr">
        <is>
          <t>1.名称:中央监控软件包
2.功能要求：基于Niagara Framework的系统控制器以及其它基于IP的控制器通过网络连接起来，可以对BACnet,Obix,Modbus和LonWorks等开放协议进行有效的集成。透过标准Web浏览器客户端提供实时的图形化信息，并提供服务器级别的功能。规格：HTML5和Java的用户界面（UI）；支持无限数量的用户通过互联网/局域网使用标准 Web浏览器访问不限数量的用户（取决于主机PC资源）；支持使用SQL、MySQL或Oracle数据库和HTTP/ HTML/XML、CSV或文本格式进行企业级数据存档 ；数据库变更、数据库存储和备份、全球时间函数、日历、中央调度、控制和能源管理程序的“审计轨迹”；先进的报警处理和路由功能；通过标准Web浏览器进行系统登录，可以得到报警、记录、日程表和配置数据；支持强大的哈希密码功能、用于安全通信的TLSv1和用于身份验证的证书管理工具。
3.施工要求:按照图纸、规范及清单要求配置并施工调试到位，并达到验收使用要求</t>
        </is>
      </c>
      <c r="D25" s="46" t="inlineStr">
        <is>
          <t>套</t>
        </is>
      </c>
      <c r="E25" s="47" t="n">
        <v>1</v>
      </c>
      <c r="F25" s="38" t="n"/>
      <c r="G25" s="107">
        <f>E25*F25</f>
        <v/>
      </c>
      <c r="H25" s="40" t="n"/>
      <c r="I25" s="48" t="inlineStr">
        <is>
          <t>含该项施工内容所包含的全部主材、辅材及配件的采购、运输、保管，转运及施工，施龚满足设计及规范要求并通过验收</t>
        </is>
      </c>
      <c r="J25" s="58" t="inlineStr">
        <is>
          <t>霍尼韦尔、江森、西门子</t>
        </is>
      </c>
      <c r="K25" t="inlineStr"/>
      <c r="L25" s="109" t="n">
        <v>0</v>
      </c>
    </row>
    <row r="26" ht="45" customFormat="1" customHeight="1" s="2">
      <c r="A26" s="43" t="n">
        <v>21</v>
      </c>
      <c r="B26" s="49" t="inlineStr">
        <is>
          <t>网络控制器</t>
        </is>
      </c>
      <c r="C26" s="45" t="inlineStr">
        <is>
          <t>1.名称:网络控制器
2.功能要求:网络区域控制器应具有的高性能：1000MHz ARM® CortexTM-A8处理器 ，1GB DDR3 SDRAM，具有MICRO SD卡（4GB闪存），内置WIFI信号支持（客户端或WAP），USB A型接口用于系统备份和恢复，实时时钟。
3.施工要求:按照图纸、规范及清单要求配置并施工调试到位，并达到验收使用要求</t>
        </is>
      </c>
      <c r="D26" s="46" t="inlineStr">
        <is>
          <t>台</t>
        </is>
      </c>
      <c r="E26" s="47" t="n">
        <v>4</v>
      </c>
      <c r="F26" s="38" t="n"/>
      <c r="G26" s="107">
        <f>E26*F26</f>
        <v/>
      </c>
      <c r="H26" s="40" t="n"/>
      <c r="I26" s="48" t="inlineStr">
        <is>
          <t>含该项施工内容所包含的全部主材、辅材及配件的采购、运输、保管，转运及施工，施龚满足设计及规范要求并通过验收</t>
        </is>
      </c>
      <c r="J26" s="58" t="inlineStr">
        <is>
          <t>霍尼韦尔、江森、西门子</t>
        </is>
      </c>
      <c r="K26" t="inlineStr"/>
      <c r="L26" s="109" t="n">
        <v>0</v>
      </c>
    </row>
    <row r="27" ht="45" customFormat="1" customHeight="1" s="2">
      <c r="A27" s="43" t="n">
        <v>22</v>
      </c>
      <c r="B27" s="49" t="inlineStr">
        <is>
          <t>RS485通信卡</t>
        </is>
      </c>
      <c r="C27" s="45" t="inlineStr">
        <is>
          <t>1、名称：网络控制器通讯卡
2、规格参数：RS485串口模块
3、使用功能：RS485通信卡
4.施工要求:按照图纸、规范及清单要求配置并施工调试到位，并达到验收使用要求</t>
        </is>
      </c>
      <c r="D27" s="46" t="inlineStr">
        <is>
          <t>个</t>
        </is>
      </c>
      <c r="E27" s="47" t="n">
        <v>2</v>
      </c>
      <c r="F27" s="38" t="n"/>
      <c r="G27" s="107">
        <f>E27*F27</f>
        <v/>
      </c>
      <c r="H27" s="40" t="n"/>
      <c r="I27" s="48" t="inlineStr">
        <is>
          <t>含该项施工内容所包含的全部主材、辅材及配件的采购、运输、保管，转运及施工，施龚满足设计及规范要求并通过验收</t>
        </is>
      </c>
      <c r="J27" s="42" t="n"/>
      <c r="K27" t="inlineStr"/>
      <c r="L27" s="109" t="n">
        <v>0</v>
      </c>
    </row>
    <row r="28" ht="33.75" customFormat="1" customHeight="1" s="2">
      <c r="A28" s="43" t="n">
        <v>23</v>
      </c>
      <c r="B28" s="49" t="inlineStr">
        <is>
          <t>交配电系统接口</t>
        </is>
      </c>
      <c r="C28" s="45" t="inlineStr">
        <is>
          <t>1.名称:交配电系统接口
2.规格型号：Modbus或BACnet协议
3.施工要求：按照图纸、规范及清单要求配置并施工调试到位，并达到验收使用要求</t>
        </is>
      </c>
      <c r="D28" s="46" t="inlineStr">
        <is>
          <t>套</t>
        </is>
      </c>
      <c r="E28" s="47" t="n">
        <v>1</v>
      </c>
      <c r="F28" s="38" t="n"/>
      <c r="G28" s="107">
        <f>E28*F28</f>
        <v/>
      </c>
      <c r="H28" s="40" t="n"/>
      <c r="I28" s="48" t="inlineStr">
        <is>
          <t>含该项施工内容所包含的全部主材、辅材及配件的采购、运输、保管，转运及施工，施龚满足设计及规范要求并通过验收</t>
        </is>
      </c>
      <c r="J28" s="42" t="n"/>
      <c r="K28" t="inlineStr"/>
      <c r="L28" s="109" t="n">
        <v>0</v>
      </c>
    </row>
    <row r="29" ht="33.75" customFormat="1" customHeight="1" s="2">
      <c r="A29" s="43" t="n">
        <v>24</v>
      </c>
      <c r="B29" s="49" t="inlineStr">
        <is>
          <t>智能照明控制系统接口</t>
        </is>
      </c>
      <c r="C29" s="45" t="inlineStr">
        <is>
          <t>1.名称:智能照明控制系统接口
2.规格型号：Modbus或BACnet协议
3.施工要求：按照图纸、规范及清单要求配置并施工调试到位，并达到验收使用要求</t>
        </is>
      </c>
      <c r="D29" s="46" t="inlineStr">
        <is>
          <t>套</t>
        </is>
      </c>
      <c r="E29" s="47" t="n">
        <v>1</v>
      </c>
      <c r="F29" s="38" t="n"/>
      <c r="G29" s="107">
        <f>E29*F29</f>
        <v/>
      </c>
      <c r="H29" s="40" t="n"/>
      <c r="I29" s="48" t="inlineStr">
        <is>
          <t>含该项施工内容所包含的全部主材、辅材及配件的采购、运输、保管，转运及施工，施龚满足设计及规范要求并通过验收</t>
        </is>
      </c>
      <c r="J29" s="42" t="n"/>
      <c r="K29" t="inlineStr"/>
      <c r="L29" s="109" t="n">
        <v>0</v>
      </c>
    </row>
    <row r="30" ht="33.75" customFormat="1" customHeight="1" s="2">
      <c r="A30" s="43" t="n">
        <v>25</v>
      </c>
      <c r="B30" s="49" t="inlineStr">
        <is>
          <t>电梯控制系统接口</t>
        </is>
      </c>
      <c r="C30" s="45" t="inlineStr">
        <is>
          <t>1.名称:电梯控制系统接口
2.规格型号：Modbus或BACnet协议
3.施工要求:按照图纸、规范及清单要求配置并施工调试到位，并达到验收使用要求</t>
        </is>
      </c>
      <c r="D30" s="46" t="inlineStr">
        <is>
          <t>套</t>
        </is>
      </c>
      <c r="E30" s="47" t="n">
        <v>1</v>
      </c>
      <c r="F30" s="38" t="n"/>
      <c r="G30" s="107">
        <f>E30*F30</f>
        <v/>
      </c>
      <c r="H30" s="40" t="n"/>
      <c r="I30" s="48" t="inlineStr">
        <is>
          <t>含该项施工内容所包含的全部主材、辅材及配件的采购、运输、保管，转运及施工，施龚满足设计及规范要求并通过验收</t>
        </is>
      </c>
      <c r="J30" s="42" t="n"/>
      <c r="K30" t="inlineStr"/>
      <c r="L30" s="109" t="n">
        <v>0</v>
      </c>
    </row>
    <row r="31" ht="33.75" customFormat="1" customHeight="1" s="2">
      <c r="A31" s="43" t="n">
        <v>26</v>
      </c>
      <c r="B31" s="49" t="inlineStr">
        <is>
          <t>柴油发电机接口</t>
        </is>
      </c>
      <c r="C31" s="50" t="inlineStr">
        <is>
          <t>1.名称:柴油发电机接口
2.规格型号：Modbus或BACnet协议
3.施工要求:按照图纸、规范及清单要求配置并施工调试到位，并达到验收使用要求</t>
        </is>
      </c>
      <c r="D31" s="46" t="inlineStr">
        <is>
          <t>套</t>
        </is>
      </c>
      <c r="E31" s="47" t="n">
        <v>1</v>
      </c>
      <c r="F31" s="38" t="n"/>
      <c r="G31" s="107">
        <f>E31*F31</f>
        <v/>
      </c>
      <c r="H31" s="40" t="n"/>
      <c r="I31" s="48" t="inlineStr">
        <is>
          <t>含该项施工内容所包含的全部主材、辅材及配件的采购、运输、保管，转运及施工，施龚满足设计及规范要求并通过验收</t>
        </is>
      </c>
      <c r="J31" s="42" t="n"/>
      <c r="K31" t="inlineStr"/>
      <c r="L31" s="109" t="n">
        <v>0</v>
      </c>
    </row>
    <row r="32" ht="45" customFormat="1" customHeight="1" s="2">
      <c r="A32" s="43" t="n">
        <v>27</v>
      </c>
      <c r="B32" s="49" t="inlineStr">
        <is>
          <t>PM/CO2硬件网关</t>
        </is>
      </c>
      <c r="C32" s="50" t="inlineStr">
        <is>
          <t>1.名称:PM/CO2硬件网关
2.规格型号：支持线型转换，取位，高低字节转换，支持BACnet、Modbus、OPC UA、MQTT/云服务器，支持COV订阅功能，支持BBMD跨网段访问。通过BTL认证。
3.施工要求:按照图纸、规范及清单要求配置并施工调试到位，并达到验收使用要求</t>
        </is>
      </c>
      <c r="D32" s="46" t="inlineStr">
        <is>
          <t>台</t>
        </is>
      </c>
      <c r="E32" s="47" t="n">
        <v>5</v>
      </c>
      <c r="F32" s="38" t="n"/>
      <c r="G32" s="107">
        <f>E32*F32</f>
        <v/>
      </c>
      <c r="H32" s="40" t="n"/>
      <c r="I32" s="48" t="inlineStr">
        <is>
          <t>含该项施工内容所包含的全部主材、辅材及配件的采购、运输、保管，转运及施工，施龚满足设计及规范要求并通过验收</t>
        </is>
      </c>
      <c r="J32" s="42" t="n"/>
      <c r="K32" t="inlineStr"/>
      <c r="L32" s="109" t="n">
        <v>0</v>
      </c>
    </row>
    <row r="33" ht="33.75" customFormat="1" customHeight="1" s="2">
      <c r="A33" s="43" t="n">
        <v>28</v>
      </c>
      <c r="B33" s="49" t="inlineStr">
        <is>
          <t>多联机接口网关</t>
        </is>
      </c>
      <c r="C33" s="50" t="inlineStr">
        <is>
          <t>1.名称:多联机接口网关
2.规格型号：Modbus或BACnet协议
3.施工要求:按照图纸、规范及清单要求配置并施工调试到位，并达到验收使用要求</t>
        </is>
      </c>
      <c r="D33" s="46" t="inlineStr">
        <is>
          <t>台</t>
        </is>
      </c>
      <c r="E33" s="47" t="n">
        <v>10</v>
      </c>
      <c r="F33" s="38" t="n"/>
      <c r="G33" s="107">
        <f>E33*F33</f>
        <v/>
      </c>
      <c r="H33" s="40" t="n"/>
      <c r="I33" s="48" t="inlineStr">
        <is>
          <t>含该项施工内容所包含的全部主材、辅材及配件的采购、运输、保管，转运及施工，施龚满足设计及规范要求并通过验收</t>
        </is>
      </c>
      <c r="J33" s="42" t="n"/>
      <c r="K33" t="inlineStr"/>
      <c r="L33" s="109" t="n">
        <v>0</v>
      </c>
    </row>
    <row r="34" ht="33.75" customFormat="1" customHeight="1" s="2">
      <c r="A34" s="43" t="n">
        <v>29</v>
      </c>
      <c r="B34" s="49" t="inlineStr">
        <is>
          <t>控制箱（Control Panel）</t>
        </is>
      </c>
      <c r="C34" s="50" t="inlineStr">
        <is>
          <t>1、名称：Control Panel
2、规格参数配置：网关及网络控制器专用（内含底板，电源变压器，端子排，线槽等成套配件）
3.施工要求:按照图纸、规范及清单要求配置并施工调试到位，并达到验收使用要求</t>
        </is>
      </c>
      <c r="D34" s="46" t="inlineStr">
        <is>
          <t>台</t>
        </is>
      </c>
      <c r="E34" s="47" t="n">
        <v>20</v>
      </c>
      <c r="F34" s="38" t="n"/>
      <c r="G34" s="107">
        <f>E34*F34</f>
        <v/>
      </c>
      <c r="H34" s="40" t="n"/>
      <c r="I34" s="48" t="inlineStr">
        <is>
          <t>含该项施工内容所包含的全部主材、辅材及配件的采购、运输、保管，转运及施工，施龚满足设计及规范要求并通过验收</t>
        </is>
      </c>
      <c r="J34" s="58" t="inlineStr">
        <is>
          <t>霍尼韦尔、江森、西门子</t>
        </is>
      </c>
      <c r="K34" t="inlineStr"/>
      <c r="L34" s="109" t="n">
        <v>0</v>
      </c>
    </row>
    <row r="35" ht="157.5" customFormat="1" customHeight="1" s="2">
      <c r="A35" s="43" t="n">
        <v>30</v>
      </c>
      <c r="B35" s="49" t="inlineStr">
        <is>
          <t>控制箱（Control Panel-3XL）</t>
        </is>
      </c>
      <c r="C35" s="50" t="inlineStr">
        <is>
          <t>1、名称：Control Panel-3XL
2、规格参数配置：
（1）3XL型控制箱，配套箱体，电源、变压器、快融保险丝、接线排子、继电器底座、及内部接线等控制附件，含6个现场控制器或I/O模块。
（2）高级数字控制器处理器及内存： 处理器必须是32位CPU处理器，不少于32MB非易失性内存，128 MB同步动态随机存取存储器，支持BACNet通讯协议控制网络技术；通讯接口：2个BACnet TCP/IP口，通讯速率应不低于10/100Mbps；  DO输出点为须带有LED灯指示功能；  具备CE、UL、BTL认证；需提供加盖厂家公章的产品彩页或证明资料。                                                                                                        
（3）为保证系统的稳定性，高级数字控制器不允许带超过8个拓展模块进行点位扩展。
（4）3XL型控制箱至少包含30通用输入点（UI)，30个数字量输入点(DI),18个模拟量输出点（AO）,18个数字量输出点（DO）。
（5）3XL型控制箱配套箱体尺寸为900*1100*200，板材厚度不低于1.2mm，防护等级不低于IP30，箱体内部接线需穿号码管标识及线鼻子。
3.施工要求:按照图纸、规范及清单要求配置并施工调试到位，并达到验收使用要求。</t>
        </is>
      </c>
      <c r="D35" s="46" t="inlineStr">
        <is>
          <t>台</t>
        </is>
      </c>
      <c r="E35" s="47" t="n">
        <v>2</v>
      </c>
      <c r="F35" s="38" t="n"/>
      <c r="G35" s="107">
        <f>E35*F35</f>
        <v/>
      </c>
      <c r="H35" s="40" t="n"/>
      <c r="I35" s="48" t="inlineStr">
        <is>
          <t>含该项施工内容所包含的全部主材、辅材及配件的采购、运输、保管，转运及施工，施龚满足设计及规范要求并通过验收</t>
        </is>
      </c>
      <c r="J35" s="58" t="inlineStr">
        <is>
          <t>霍尼韦尔、江森、西门子</t>
        </is>
      </c>
      <c r="K35" t="inlineStr"/>
      <c r="L35" s="109" t="n">
        <v>0</v>
      </c>
    </row>
    <row r="36" ht="157.5" customFormat="1" customHeight="1" s="2">
      <c r="A36" s="43" t="n">
        <v>31</v>
      </c>
      <c r="B36" s="49" t="inlineStr">
        <is>
          <t>控制箱（Control Panel-2XL）</t>
        </is>
      </c>
      <c r="C36" s="50" t="inlineStr">
        <is>
          <t>1、名称：Control Panel-2XL
2、功能要求:
（1）2XL型控制箱，配套箱体，电源、变压器、快融保险丝、接线排子、继电器底座、及内部接线等控制附件，含5个现场控制器或I/O模块。
（2）高级数字控制器处理器及内存： 处理器必须是32位CPU处理器，不少于32MB非易失性内存，128 MB同步动态随机存取存储器，支持BACNet通讯协议控制网络技术；通讯接口：2个BACnet TCP/IP口，通讯速率应不低于10/100Mbps；DO输出点为须带有LED灯指示功能；具备CE、UL、BTL认证；需提供加盖厂家公章的产品彩页或证明资料。                                                                                                                   
（3）为保证系统的稳定性，现场控制器不允许带超过8个拓展模块进行点位扩展。
（4）2XL型控制箱至少包含25通用输入点（UI)，25个数字量输入点(DI),15个模拟量输出点（AO）,15个数字量输出点（DO）。
（5）2XL型控制箱配套箱体尺寸为800*1000*200，板材厚度不低于1.2mm，防护等级不低于IP30，箱体内部接线需穿号码管标识及线鼻子。
3.施工要求:按照图纸、规范及清单要求配置并施工调试到位，并达到验收使用要求。</t>
        </is>
      </c>
      <c r="D36" s="55" t="inlineStr">
        <is>
          <t>台</t>
        </is>
      </c>
      <c r="E36" s="47" t="n">
        <v>4</v>
      </c>
      <c r="F36" s="38" t="n"/>
      <c r="G36" s="107">
        <f>E36*F36</f>
        <v/>
      </c>
      <c r="H36" s="40" t="n"/>
      <c r="I36" s="48" t="inlineStr">
        <is>
          <t>含该项施工内容所包含的全部主材、辅材及配件的采购、运输、保管，转运及施工，施龚满足设计及规范要求并通过验收</t>
        </is>
      </c>
      <c r="J36" s="58" t="inlineStr">
        <is>
          <t>霍尼韦尔、江森、西门子</t>
        </is>
      </c>
      <c r="K36" t="inlineStr"/>
      <c r="L36" s="109" t="n">
        <v>0</v>
      </c>
    </row>
    <row r="37" ht="157.5" customFormat="1" customHeight="1" s="2">
      <c r="A37" s="43" t="n">
        <v>32</v>
      </c>
      <c r="B37" s="49" t="inlineStr">
        <is>
          <t>控制箱（Control Panel-XL）</t>
        </is>
      </c>
      <c r="C37" s="50" t="inlineStr">
        <is>
          <t>1、名称：Control Panel-XL
2、规格型号：
（1）XL型控制箱，配套箱体，电源、变压器、快融保险丝、接线排子、继电器底座、及内部接线等控制附件，含4个现场控制器或I/O模块。
（2）高级数字控制器处理器及内存： 处理器必须是32位CPU处理器，不少于32MB非易失性内存，128 MB同步动态随机存取存储器，支持BACNet通讯协议控制网络技术；通讯接口：2个BACnet TCP/IP口，通讯速率应不低于10/100Mbps；DO输出点为须带有LED灯指示功能；具备CE、UL、BTL认证；需提供加盖厂家公章的产品彩页或证明资料。
（3）为保证系统的稳定性，现场控制器不允许带超过8个拓展模块进行点位扩展。
（4）XL型控制箱至少包含20通用输入点（UI)，20个数字量输入点(DI),12个模拟量输出点（AO）,12个数字量输出点（DO）。
（5）XL型控制箱配套箱体尺寸为700*900*200，板材厚度不低于1.2mm，防护等级不低于IP30，箱体内部接线需穿号码管标识及线鼻子。
3.施工要求:按照图纸、规范及清单要求配置并施工调试到位，并达到验收使用要求。</t>
        </is>
      </c>
      <c r="D37" s="55" t="inlineStr">
        <is>
          <t>台</t>
        </is>
      </c>
      <c r="E37" s="47" t="n">
        <v>4</v>
      </c>
      <c r="F37" s="38" t="n"/>
      <c r="G37" s="107">
        <f>E37*F37</f>
        <v/>
      </c>
      <c r="H37" s="40" t="n"/>
      <c r="I37" s="48" t="inlineStr">
        <is>
          <t>含该项施工内容所包含的全部主材、辅材及配件的采购、运输、保管，转运及施工，施龚满足设计及规范要求并通过验收</t>
        </is>
      </c>
      <c r="J37" s="58" t="inlineStr">
        <is>
          <t>霍尼韦尔、江森、西门子</t>
        </is>
      </c>
      <c r="K37" t="inlineStr"/>
      <c r="L37" s="109" t="n">
        <v>0</v>
      </c>
    </row>
    <row r="38" ht="157.5" customFormat="1" customHeight="1" s="2">
      <c r="A38" s="43" t="n">
        <v>33</v>
      </c>
      <c r="B38" s="49" t="inlineStr">
        <is>
          <t>控制箱（Control Panel-L）</t>
        </is>
      </c>
      <c r="C38" s="50" t="inlineStr">
        <is>
          <t>1、名称：Control Panel-L
2、功能要求：
（1）L型控制箱，配套箱体，电源、变压器、快融保险丝、接线排子、继电器底座、及内部接线等控制附件，含3个现场控制器或I/O模块。
（2）高级数字控制器处理器及内存： 处理器必须是32位CPU处理器，不少于32MB非易失性内存，128 MB同步动态随机存取存储器，支持BACNet通讯协议控制网络技术；通讯接口：2个BACnet TCP/IP口，通讯速率应不低于10/100Mbps;DO输出点为须带有LED灯指示功能；具备CE、UL、BTL认证;需提供加盖厂家公章的产品彩页或证明资料。
（3）为保证系统的稳定性，现场控制器不允许带超过8个拓展模块进行点位扩展。
（4）L型控制箱至少包含15通用输入点（UI)，15个数字量输入点(DI),9个模拟量输出点（AO）,9个数字量输出点（DO）。
（5）L型控制箱配套箱体尺寸为600*800*200，板材厚度不低于1.2mm，防护等级不低于IP30，箱体内部接线需穿号码管标识及线鼻子。L型控制箱
3.施工要求:按照图纸、规范及清单要求配置并施工调试到位，并达到验收使用要求。</t>
        </is>
      </c>
      <c r="D38" s="55" t="inlineStr">
        <is>
          <t>台</t>
        </is>
      </c>
      <c r="E38" s="47" t="n">
        <v>12</v>
      </c>
      <c r="F38" s="38" t="n"/>
      <c r="G38" s="107">
        <f>E38*F38</f>
        <v/>
      </c>
      <c r="H38" s="40" t="n"/>
      <c r="I38" s="48" t="inlineStr">
        <is>
          <t>含该项施工内容所包含的全部主材、辅材及配件的采购、运输、保管，转运及施工，施龚满足设计及规范要求并通过验收</t>
        </is>
      </c>
      <c r="J38" s="58" t="inlineStr">
        <is>
          <t>霍尼韦尔、江森、西门子</t>
        </is>
      </c>
      <c r="K38" t="inlineStr"/>
      <c r="L38" s="109" t="n">
        <v>0</v>
      </c>
    </row>
    <row r="39" ht="157.5" customFormat="1" customHeight="1" s="2">
      <c r="A39" s="43" t="n">
        <v>34</v>
      </c>
      <c r="B39" s="49" t="inlineStr">
        <is>
          <t>控制箱（Control Panel-M）</t>
        </is>
      </c>
      <c r="C39" s="50" t="inlineStr">
        <is>
          <t>1.名称：Control Panel-M
2.规格参数配置：
（1）M型控制箱，配套箱体，电源、变压器、快融保险丝、接线排子、继电器底座、及内部接线等控制附件，含2个现场控制器或I/O模块。
（2）高级数字控制器处理器及内存： 处理器必须是32位CPU处理器，不少于32MB非易失性内存，128 MB同步动态随机存取存储器，支持BACNet通讯协议控制网络技术；通讯接口：2个BACnet TCP/IP口，通讯速率应不低于10/100Mbps；DO输出点为须带有LED灯指示功能；具备CE、UL、BTL认证;需提供加盖厂家公章的产品彩页或证明资料。                                                                                                                    
（3）为保证系统的稳定性，现场控制器不允许带超过8个拓展模块进行点位扩展。
（4）M型控制箱至少包含10通用输入点（UI)，10个数字量输入点(DI),6个模拟量输出点（AO）,6个数字量输出点（DO）。
（5）M型控制箱配套箱体尺寸为500*700*200，板材厚度不低于1.2mm，防护等级不低于IP30，箱体内部接线需穿号码管标识及线鼻子。
3.施工要求:按照图纸、规范及清单要求配置并施工调试到位，并达到验收使用要求。</t>
        </is>
      </c>
      <c r="D39" s="55" t="inlineStr">
        <is>
          <t>台</t>
        </is>
      </c>
      <c r="E39" s="47" t="n">
        <v>4</v>
      </c>
      <c r="F39" s="38" t="n"/>
      <c r="G39" s="107">
        <f>E39*F39</f>
        <v/>
      </c>
      <c r="H39" s="40" t="n"/>
      <c r="I39" s="48" t="inlineStr">
        <is>
          <t>含该项施工内容所包含的全部主材、辅材及配件的采购、运输、保管，转运及施工，施龚满足设计及规范要求并通过验收</t>
        </is>
      </c>
      <c r="J39" s="58" t="inlineStr">
        <is>
          <t>霍尼韦尔、江森、西门子</t>
        </is>
      </c>
      <c r="K39" t="inlineStr"/>
      <c r="L39" s="109" t="n">
        <v>0</v>
      </c>
    </row>
    <row r="40" ht="45" customFormat="1" customHeight="1" s="2">
      <c r="A40" s="43" t="n">
        <v>35</v>
      </c>
      <c r="B40" s="49" t="inlineStr">
        <is>
          <t>室内CO浓度探测器</t>
        </is>
      </c>
      <c r="C40" s="56" t="inlineStr">
        <is>
          <t>1.名称:CO浓度探测器
2.规格参数：工作原理：电化学式； 量程 0~ 250ppm ；输出信号 4~20mA / 2~10VDC；精度±5%  @25C. 50% RH（0~100  ppm）
3.施工要求:按照图纸、规范及清单要求配置并施工调试到位，并达到验收使用要求。</t>
        </is>
      </c>
      <c r="D40" s="46" t="inlineStr">
        <is>
          <t>个</t>
        </is>
      </c>
      <c r="E40" s="47" t="n">
        <v>37</v>
      </c>
      <c r="F40" s="38" t="n"/>
      <c r="G40" s="107">
        <f>E40*F40</f>
        <v/>
      </c>
      <c r="H40" s="40" t="n"/>
      <c r="I40" s="48" t="inlineStr">
        <is>
          <t>含该项施工内容所包含的全部主材、辅材及配件的采购、运输、保管，转运及施工，施龚满足设计及规范要求并通过验收</t>
        </is>
      </c>
      <c r="J40" s="58" t="n"/>
      <c r="K40" t="inlineStr"/>
      <c r="L40" s="109" t="n">
        <v>0</v>
      </c>
    </row>
    <row r="41" ht="45" customFormat="1" customHeight="1" s="2">
      <c r="A41" s="43" t="n">
        <v>36</v>
      </c>
      <c r="B41" s="49" t="inlineStr">
        <is>
          <t>室内CO2传感器</t>
        </is>
      </c>
      <c r="C41" s="56" t="inlineStr">
        <is>
          <t>1.名称:室内CO2传感器
2.规格：485传输方式，量程0-2000ppm ；输出信号 4~20mA / 2~10VDC；精度±5%  @25C. 50% RH（0~100  ppm），485通讯
3.施工要求:按照图纸、规范及清单要求配置并施工调试到位，并达到验收使用要求。</t>
        </is>
      </c>
      <c r="D41" s="46" t="inlineStr">
        <is>
          <t>个</t>
        </is>
      </c>
      <c r="E41" s="47" t="n">
        <v>53</v>
      </c>
      <c r="F41" s="38" t="n"/>
      <c r="G41" s="107">
        <f>E41*F41</f>
        <v/>
      </c>
      <c r="H41" s="40" t="n"/>
      <c r="I41" s="48" t="inlineStr">
        <is>
          <t>含该项施工内容所包含的全部主材、辅材及配件的采购、运输、保管，转运及施工，施龚满足设计及规范要求并通过验收</t>
        </is>
      </c>
      <c r="J41" s="58" t="n"/>
      <c r="K41" t="inlineStr"/>
      <c r="L41" s="109" t="n">
        <v>0</v>
      </c>
    </row>
    <row r="42" ht="45" customFormat="1" customHeight="1" s="2">
      <c r="A42" s="43" t="n">
        <v>37</v>
      </c>
      <c r="B42" s="49" t="inlineStr">
        <is>
          <t>室内PM传感器</t>
        </is>
      </c>
      <c r="C42" s="56" t="inlineStr">
        <is>
          <t>1.名称:室内PM传感器
2.规格：485传输方式，量程0～1000 ug/m3 ；输出信号 4~20mA / 2~10VDC；精度±10%  @25C；分辨率：1 ug/m3，485通讯
3.施工要求:按照图纸、规范及清单要求配置并施工调试到位，并达到验收使用要求。</t>
        </is>
      </c>
      <c r="D42" s="46" t="inlineStr">
        <is>
          <t>个</t>
        </is>
      </c>
      <c r="E42" s="47" t="n">
        <v>53</v>
      </c>
      <c r="F42" s="38" t="n"/>
      <c r="G42" s="107">
        <f>E42*F42</f>
        <v/>
      </c>
      <c r="H42" s="40" t="n"/>
      <c r="I42" s="48" t="inlineStr">
        <is>
          <t>含该项施工内容所包含的全部主材、辅材及配件的采购、运输、保管，转运及施工，施龚满足设计及规范要求并通过验收</t>
        </is>
      </c>
      <c r="J42" s="58" t="n"/>
      <c r="K42" t="inlineStr"/>
      <c r="L42" s="109" t="n">
        <v>0</v>
      </c>
    </row>
    <row r="43" ht="33.75" customFormat="1" customHeight="1" s="2">
      <c r="A43" s="43" t="n">
        <v>38</v>
      </c>
      <c r="B43" s="49" t="inlineStr">
        <is>
          <t>液位开关</t>
        </is>
      </c>
      <c r="C43" s="56" t="inlineStr">
        <is>
          <t>1.名称:液位开关
2.规格型号：三点式开关，配3~5M延长线，配重可调
3.施工要求:按照图纸、规范及清单要求配置并施工调试到位，并达到验收使用要求。</t>
        </is>
      </c>
      <c r="D43" s="46" t="inlineStr">
        <is>
          <t>个</t>
        </is>
      </c>
      <c r="E43" s="47" t="n">
        <v>44</v>
      </c>
      <c r="F43" s="38" t="n"/>
      <c r="G43" s="107">
        <f>E43*F43</f>
        <v/>
      </c>
      <c r="H43" s="40" t="n"/>
      <c r="I43" s="48" t="inlineStr">
        <is>
          <t>含该项施工内容所包含的全部主材、辅材及配件的采购、运输、保管，转运及施工，施龚满足设计及规范要求并通过验收</t>
        </is>
      </c>
      <c r="J43" s="58" t="n"/>
      <c r="K43" t="inlineStr"/>
      <c r="L43" s="109" t="n">
        <v>0</v>
      </c>
    </row>
    <row r="44" ht="33.75" customFormat="1" customHeight="1" s="2">
      <c r="A44" s="43" t="n">
        <v>39</v>
      </c>
      <c r="B44" s="49" t="inlineStr">
        <is>
          <t>建筑设备监控系统调试及试运行</t>
        </is>
      </c>
      <c r="C44" s="45" t="inlineStr">
        <is>
          <t>1、名称；能源管理系统试运行
2、施工要求：确保能源管理全系统调试合格，实现全系统设备、软件联动运行，达到图纸、规范要求的使用功能及要求。后期试运行保证过程中进行全系统跟踪监测，确保后期运营过程中无故障</t>
        </is>
      </c>
      <c r="D44" s="46" t="inlineStr">
        <is>
          <t>项</t>
        </is>
      </c>
      <c r="E44" s="46" t="n">
        <v>1</v>
      </c>
      <c r="F44" s="38" t="n"/>
      <c r="G44" s="107">
        <f>E44*F44</f>
        <v/>
      </c>
      <c r="H44" s="40" t="n"/>
      <c r="I44" s="48" t="inlineStr">
        <is>
          <t>含该项施工内容所包含的全部主材、辅材及配件的采购、运输、保管，转运及施工，施龚满足设计及规范要求并通过验收</t>
        </is>
      </c>
      <c r="J44" s="57" t="n"/>
      <c r="K44" t="inlineStr"/>
      <c r="L44" s="109" t="n">
        <v>0</v>
      </c>
    </row>
    <row r="45" ht="45" customFormat="1" customHeight="1" s="2">
      <c r="A45" s="43" t="n">
        <v>40</v>
      </c>
      <c r="B45" s="49" t="inlineStr">
        <is>
          <t>配线</t>
        </is>
      </c>
      <c r="C45" s="56" t="inlineStr">
        <is>
          <t>1.名称:配线
2.型号、规格、材质:ZR-RYY2*1.0
3、施工内容：含线缆及对应辅材及配件的采购及敷设安装，接线头及对应辅材及配件采购并完成压接。
4、施工要求:按照图纸、规范及清单要求配置并施工调试到位，并达到验收使用要求</t>
        </is>
      </c>
      <c r="D45" s="46" t="inlineStr">
        <is>
          <t>m</t>
        </is>
      </c>
      <c r="E45" s="47" t="n">
        <v>4650.78</v>
      </c>
      <c r="F45" s="38" t="n"/>
      <c r="G45" s="107">
        <f>E45*F45</f>
        <v/>
      </c>
      <c r="H45" s="40" t="n"/>
      <c r="I45" s="48" t="inlineStr">
        <is>
          <t>含该项施工内容所包含的全部主材、辅材及配件的采购、运输、保管，转运及施工，施龚满足设计及规范要求并通过验收</t>
        </is>
      </c>
      <c r="J45" s="57" t="n"/>
      <c r="K45" t="inlineStr"/>
      <c r="L45" s="109" t="n">
        <v>0</v>
      </c>
    </row>
    <row r="46" ht="45" customFormat="1" customHeight="1" s="2">
      <c r="A46" s="43" t="n">
        <v>41</v>
      </c>
      <c r="B46" s="49" t="inlineStr">
        <is>
          <t>配线</t>
        </is>
      </c>
      <c r="C46" s="56" t="inlineStr">
        <is>
          <t>1.名称:配线
2.型号、规格、材质:ZR-RYY6*1.0
3、施工内容：含线缆及对应辅材及配件的采购及敷设安装，接线头及对应辅材及配件采购并完成压接。
4、施工要求:按照图纸、规范及清单要求配置并施工调试到位，并达到验收使用要求</t>
        </is>
      </c>
      <c r="D46" s="42" t="inlineStr">
        <is>
          <t>m</t>
        </is>
      </c>
      <c r="E46" s="43" t="n">
        <v>1854.52</v>
      </c>
      <c r="F46" s="38" t="n"/>
      <c r="G46" s="107">
        <f>E46*F46</f>
        <v/>
      </c>
      <c r="H46" s="40" t="n"/>
      <c r="I46" s="48" t="inlineStr">
        <is>
          <t>含该项施工内容所包含的全部主材、辅材及配件的采购、运输、保管，转运及施工，施龚满足设计及规范要求并通过验收</t>
        </is>
      </c>
      <c r="J46" s="57" t="n"/>
      <c r="K46" t="inlineStr"/>
      <c r="L46" s="109" t="n">
        <v>0</v>
      </c>
    </row>
    <row r="47" ht="45" customFormat="1" customHeight="1" s="2">
      <c r="A47" s="43" t="n">
        <v>42</v>
      </c>
      <c r="B47" s="49" t="inlineStr">
        <is>
          <t>配线</t>
        </is>
      </c>
      <c r="C47" s="56" t="inlineStr">
        <is>
          <t>1.名称:配线
2.型号、规格、材质:ZR-RYY4*1.0
3、施工内容：含线缆及对应辅材及配件的采购及敷设安装，接线头及对应辅材及配件采购并完成压接。
4、施工要求:按照图纸、规范及清单要求配置并施工调试到位，并达到验收使用要求</t>
        </is>
      </c>
      <c r="D47" s="46" t="inlineStr">
        <is>
          <t>m</t>
        </is>
      </c>
      <c r="E47" s="47" t="n">
        <v>1899.41</v>
      </c>
      <c r="F47" s="38" t="n"/>
      <c r="G47" s="107">
        <f>E47*F47</f>
        <v/>
      </c>
      <c r="H47" s="40" t="n"/>
      <c r="I47" s="48" t="inlineStr">
        <is>
          <t>含该项施工内容所包含的全部主材、辅材及配件的采购、运输、保管，转运及施工，施龚满足设计及规范要求并通过验收</t>
        </is>
      </c>
      <c r="J47" s="57" t="n"/>
      <c r="K47" t="inlineStr"/>
      <c r="L47" s="109" t="n">
        <v>0</v>
      </c>
    </row>
    <row r="48" ht="45" customFormat="1" customHeight="1" s="2">
      <c r="A48" s="43" t="n">
        <v>43</v>
      </c>
      <c r="B48" s="49" t="inlineStr">
        <is>
          <t>配线</t>
        </is>
      </c>
      <c r="C48" s="56" t="inlineStr">
        <is>
          <t>1.名称:配线
2.型号、规格、材质:ZRRVSP4*1.5
3、施工内容：含线缆及对应辅材及配件的采购及敷设安装，接线头及对应辅材及配件采购并完成压接。
4、施工要求:按照图纸、规范及清单要求配置并施工调试到位，并达到验收使用要求</t>
        </is>
      </c>
      <c r="D48" s="46" t="inlineStr">
        <is>
          <t>m</t>
        </is>
      </c>
      <c r="E48" s="47" t="n">
        <v>5939.11</v>
      </c>
      <c r="F48" s="38" t="n"/>
      <c r="G48" s="107">
        <f>E48*F48</f>
        <v/>
      </c>
      <c r="H48" s="40" t="n"/>
      <c r="I48" s="48" t="inlineStr">
        <is>
          <t>含该项施工内容所包含的全部主材、辅材及配件的采购、运输、保管，转运及施工，施龚满足设计及规范要求并通过验收</t>
        </is>
      </c>
      <c r="J48" s="57" t="n"/>
      <c r="K48" t="inlineStr"/>
      <c r="L48" s="109" t="n">
        <v>0</v>
      </c>
    </row>
    <row r="49" ht="56.25" customFormat="1" customHeight="1" s="2">
      <c r="A49" s="43" t="n">
        <v>44</v>
      </c>
      <c r="B49" s="49" t="inlineStr">
        <is>
          <t>配线</t>
        </is>
      </c>
      <c r="C49" s="50" t="inlineStr">
        <is>
          <t>1.名称：配线
2.规格：ZR-DYPVP-4*1.5
3.敷设方式：沿管、沿桥架敷设
4、施工内容：含线缆及对应辅材及配件的采购及敷设安装，接线头及对应辅材及配件采购并完成压接。
5、施工要求:按照图纸、规范及清单要求配置并施工调试到位，并达到验收使用要求</t>
        </is>
      </c>
      <c r="D49" s="46" t="inlineStr">
        <is>
          <t>m</t>
        </is>
      </c>
      <c r="E49" s="47" t="n">
        <v>60.42</v>
      </c>
      <c r="F49" s="38" t="n"/>
      <c r="G49" s="107">
        <f>E49*F49</f>
        <v/>
      </c>
      <c r="H49" s="40" t="n"/>
      <c r="I49" s="48" t="inlineStr">
        <is>
          <t>含该项施工内容所包含的全部主材、辅材及配件的采购、运输、保管，转运及施工，施龚满足设计及规范要求并通过验收</t>
        </is>
      </c>
      <c r="J49" s="58" t="n"/>
      <c r="K49" t="inlineStr"/>
      <c r="L49" s="109" t="n">
        <v>0</v>
      </c>
    </row>
    <row r="50" ht="56.25" customFormat="1" customHeight="1" s="2">
      <c r="A50" s="43" t="n">
        <v>45</v>
      </c>
      <c r="B50" s="49" t="inlineStr">
        <is>
          <t>配线</t>
        </is>
      </c>
      <c r="C50" s="110" t="inlineStr">
        <is>
          <t>1.名称：配线
2.规格：ZR-RYY-4*1.5
3.敷设方式：沿管、沿桥架敷设
4、施工内容：含线缆及对应辅材及配件的采购及敷设安装，接线头及对应辅材及配件采购并完成压接。
5、施工要求:按照图纸、规范及清单要求配置并施工调试到位，并达到验收使用要求</t>
        </is>
      </c>
      <c r="D50" s="46" t="inlineStr">
        <is>
          <t>m</t>
        </is>
      </c>
      <c r="E50" s="47" t="n">
        <v>1804.47</v>
      </c>
      <c r="F50" s="38" t="n"/>
      <c r="G50" s="107">
        <f>E50*F50</f>
        <v/>
      </c>
      <c r="H50" s="40" t="n"/>
      <c r="I50" s="48" t="inlineStr">
        <is>
          <t>含该项施工内容所包含的全部主材、辅材及配件的采购、运输、保管，转运及施工，施龚满足设计及规范要求并通过验收</t>
        </is>
      </c>
      <c r="J50" s="58" t="n"/>
      <c r="K50" t="inlineStr"/>
      <c r="L50" s="109" t="n">
        <v>0</v>
      </c>
    </row>
    <row r="51" ht="56.25" customFormat="1" customHeight="1" s="2">
      <c r="A51" s="43" t="n">
        <v>46</v>
      </c>
      <c r="B51" s="49" t="inlineStr">
        <is>
          <t>配线</t>
        </is>
      </c>
      <c r="C51" s="45" t="inlineStr">
        <is>
          <t>1.名称：配线
2.规格：ZR-RYYP-4*1.0
3.敷设方式：沿管、沿桥架敷设
4、施工内容：含线缆及对应辅材及配件的采购及敷设安装，接线头及对应辅材及配件采购并完成压接。
5、施工要求:按照图纸、规范及清单要求配置并施工调试到位，并达到验收使用要求。</t>
        </is>
      </c>
      <c r="D51" s="46" t="inlineStr">
        <is>
          <t>m</t>
        </is>
      </c>
      <c r="E51" s="47" t="n">
        <v>171.87</v>
      </c>
      <c r="F51" s="38" t="n"/>
      <c r="G51" s="107">
        <f>E51*F51</f>
        <v/>
      </c>
      <c r="H51" s="40" t="n"/>
      <c r="I51" s="48" t="inlineStr">
        <is>
          <t>含该项施工内容所包含的全部主材、辅材及配件的采购、运输、保管，转运及施工，施龚满足设计及规范要求并通过验收</t>
        </is>
      </c>
      <c r="J51" s="58" t="n"/>
      <c r="K51" t="inlineStr"/>
      <c r="L51" s="109" t="n">
        <v>0</v>
      </c>
    </row>
    <row r="52" ht="56.25" customFormat="1" customHeight="1" s="2">
      <c r="A52" s="43" t="n">
        <v>47</v>
      </c>
      <c r="B52" s="49" t="inlineStr">
        <is>
          <t>光缆</t>
        </is>
      </c>
      <c r="C52" s="45" t="inlineStr">
        <is>
          <t>1.名称:单模光纤
2.规格:12芯
3.敷设方式:沿管、沿桥架敷设
4、施工内容：含线缆及对应辅材及配件的采购及敷设安装，接线头及对应辅材及配件采购并完成压接。
5、施工要求:按照图纸、规范及清单要求配置并施工调试到位，并达到验收使用要求。</t>
        </is>
      </c>
      <c r="D52" s="46" t="inlineStr">
        <is>
          <t>m</t>
        </is>
      </c>
      <c r="E52" s="47" t="n">
        <v>93.53</v>
      </c>
      <c r="F52" s="38" t="n"/>
      <c r="G52" s="107">
        <f>E52*F52</f>
        <v/>
      </c>
      <c r="H52" s="40" t="n"/>
      <c r="I52" s="48" t="inlineStr">
        <is>
          <t>含该项施工内容所包含的全部主材、辅材及配件的采购、运输、保管，转运及施工，施龚满足设计及规范要求并通过验收</t>
        </is>
      </c>
      <c r="J52" s="58" t="n"/>
      <c r="K52" t="inlineStr"/>
      <c r="L52" s="109" t="n">
        <v>0</v>
      </c>
    </row>
    <row r="53" ht="45" customFormat="1" customHeight="1" s="2">
      <c r="A53" s="43" t="n">
        <v>48</v>
      </c>
      <c r="B53" s="49" t="inlineStr">
        <is>
          <t>配管</t>
        </is>
      </c>
      <c r="C53" s="110" t="inlineStr">
        <is>
          <t>1.名称:电气配管
2.规格材质:JDG25
3.敷设方式:明配
4.其它:参照设计说明及相关规范要求执行</t>
        </is>
      </c>
      <c r="D53" s="46" t="inlineStr">
        <is>
          <t>m</t>
        </is>
      </c>
      <c r="E53" s="47" t="n">
        <v>6864.98</v>
      </c>
      <c r="F53" s="38" t="n"/>
      <c r="G53" s="107">
        <f>E53*F53</f>
        <v/>
      </c>
      <c r="H53" s="40" t="n"/>
      <c r="I53" s="48" t="inlineStr">
        <is>
          <t>含该项施工内容所包含的全部主材、辅材及配件的采购、运输、保管，转运及施工，施龚满足设计及规范要求并通过验收</t>
        </is>
      </c>
      <c r="J53" s="58" t="n"/>
      <c r="K53" t="inlineStr"/>
      <c r="L53" s="109" t="n">
        <v>0</v>
      </c>
    </row>
    <row r="54" ht="45" customFormat="1" customHeight="1" s="2">
      <c r="A54" s="43" t="n">
        <v>49</v>
      </c>
      <c r="B54" s="49" t="inlineStr">
        <is>
          <t>配管</t>
        </is>
      </c>
      <c r="C54" s="45" t="inlineStr">
        <is>
          <t>1.名称:电气配管
2.规格材质:JDG32
3.敷设方式:明配
4.其它:参照设计说明及相关规范要求执行</t>
        </is>
      </c>
      <c r="D54" s="46" t="inlineStr">
        <is>
          <t>m</t>
        </is>
      </c>
      <c r="E54" s="47" t="n">
        <v>984.97</v>
      </c>
      <c r="F54" s="38" t="n"/>
      <c r="G54" s="107">
        <f>E54*F54</f>
        <v/>
      </c>
      <c r="H54" s="40" t="n"/>
      <c r="I54" s="48" t="inlineStr">
        <is>
          <t>含该项施工内容所包含的全部主材、辅材及配件的采购、运输、保管，转运及施工，施龚满足设计及规范要求并通过验收</t>
        </is>
      </c>
      <c r="J54" s="58" t="n"/>
      <c r="K54" t="inlineStr"/>
      <c r="L54" s="109" t="n">
        <v>0</v>
      </c>
    </row>
    <row r="55" ht="45" customFormat="1" customHeight="1" s="2">
      <c r="A55" s="43" t="n">
        <v>50</v>
      </c>
      <c r="B55" s="49" t="inlineStr">
        <is>
          <t>六类网线</t>
        </is>
      </c>
      <c r="C55" s="50" t="inlineStr">
        <is>
          <t>1.名称:六类网线
2.型号、规格、材质:CAT6
3、施工内容：含线缆及对应辅材及配件的采购及敷设安装，接线头及对应辅材及配件采购并完成压接。
4、施工要求:按照图纸、规范及清单要求配置并施工调试到位，并达到验收使用要求。</t>
        </is>
      </c>
      <c r="D55" s="46" t="inlineStr">
        <is>
          <t>m</t>
        </is>
      </c>
      <c r="E55" s="46" t="n">
        <v>900</v>
      </c>
      <c r="F55" s="38" t="n"/>
      <c r="G55" s="107">
        <f>E55*F55</f>
        <v/>
      </c>
      <c r="H55" s="40" t="n"/>
      <c r="I55" s="48" t="inlineStr">
        <is>
          <t>含该项施工内容所包含的全部主材、辅材及配件的采购、运输、保管，转运及施工，施龚满足设计及规范要求并通过验收</t>
        </is>
      </c>
      <c r="J55" s="58" t="n"/>
      <c r="K55" t="inlineStr"/>
      <c r="L55" s="109" t="n">
        <v>0</v>
      </c>
    </row>
    <row r="56" ht="39" customFormat="1" customHeight="1" s="2">
      <c r="A56" s="43" t="n">
        <v>51</v>
      </c>
      <c r="B56" s="44" t="inlineStr">
        <is>
          <t>配管</t>
        </is>
      </c>
      <c r="C56" s="52" t="inlineStr">
        <is>
          <t>1.名称:金属软管
2.规格材质:DN25
3.敷设方式:明配
4.其它:参照设计说明及相关规范要求执行</t>
        </is>
      </c>
      <c r="D56" s="46" t="inlineStr">
        <is>
          <t>m</t>
        </is>
      </c>
      <c r="E56" s="47" t="n">
        <v>187</v>
      </c>
      <c r="F56" s="38" t="n"/>
      <c r="G56" s="107">
        <f>E56*F56</f>
        <v/>
      </c>
      <c r="H56" s="40" t="n"/>
      <c r="I56" s="48" t="inlineStr">
        <is>
          <t>含该项施工内容所包含的全部主材、辅材及配件的采购、运输、保管，转运及施工，施龚满足设计及规范要求并通过验收</t>
        </is>
      </c>
      <c r="J56" s="58" t="n"/>
      <c r="K56" t="inlineStr"/>
      <c r="L56" s="109" t="n">
        <v>0</v>
      </c>
    </row>
    <row r="57" ht="39" customFormat="1" customHeight="1" s="2">
      <c r="A57" s="43" t="n">
        <v>52</v>
      </c>
      <c r="B57" s="44" t="inlineStr">
        <is>
          <t>接线盒</t>
        </is>
      </c>
      <c r="C57" s="52" t="inlineStr">
        <is>
          <t>1.名称:接线盒
2.规格材质:钢制86型
3.敷设方式:明配
4.其它:参照设计说明及相关规范要求执行</t>
        </is>
      </c>
      <c r="D57" s="46" t="inlineStr">
        <is>
          <t>个</t>
        </is>
      </c>
      <c r="E57" s="47" t="n">
        <v>187</v>
      </c>
      <c r="F57" s="38" t="n"/>
      <c r="G57" s="107">
        <f>E57*F57</f>
        <v/>
      </c>
      <c r="H57" s="40" t="n"/>
      <c r="I57" s="48" t="inlineStr">
        <is>
          <t>含该项施工内容所包含的全部主材、辅材及配件的采购、运输、保管，转运及施工，施龚满足设计及规范要求并通过验收</t>
        </is>
      </c>
      <c r="J57" s="58" t="n"/>
      <c r="K57" t="inlineStr"/>
      <c r="L57" s="109" t="n">
        <v>0</v>
      </c>
    </row>
    <row r="58" ht="14.25" customHeight="1" s="97">
      <c r="A58" s="59" t="inlineStr">
        <is>
          <t>不含税合计：</t>
        </is>
      </c>
      <c r="B58" s="111" t="n"/>
      <c r="C58" s="111" t="n"/>
      <c r="D58" s="111" t="n"/>
      <c r="E58" s="111" t="n"/>
      <c r="F58" s="112" t="n"/>
      <c r="G58" s="113">
        <f>SUM(G8:G55)</f>
        <v/>
      </c>
      <c r="H58" s="114" t="n"/>
      <c r="I58" s="48" t="n"/>
      <c r="J58" s="115" t="n"/>
      <c r="K58" t="inlineStr"/>
      <c r="L58" t="inlineStr"/>
    </row>
    <row r="59" ht="14.25" customHeight="1" s="97">
      <c r="A59" s="59" t="inlineStr">
        <is>
          <t>税金：（9%）</t>
        </is>
      </c>
      <c r="B59" s="111" t="n"/>
      <c r="C59" s="111" t="n"/>
      <c r="D59" s="111" t="n"/>
      <c r="E59" s="111" t="n"/>
      <c r="F59" s="112" t="n"/>
      <c r="G59" s="113">
        <f>G58*0.09</f>
        <v/>
      </c>
      <c r="H59" s="114" t="n"/>
      <c r="I59" s="116" t="n"/>
      <c r="J59" s="115" t="n"/>
      <c r="K59" t="inlineStr"/>
      <c r="L59" t="inlineStr"/>
    </row>
    <row r="60" ht="14.25" customHeight="1" s="97">
      <c r="A60" s="59" t="inlineStr">
        <is>
          <t>含税合计：</t>
        </is>
      </c>
      <c r="B60" s="111" t="n"/>
      <c r="C60" s="111" t="n"/>
      <c r="D60" s="111" t="n"/>
      <c r="E60" s="111" t="n"/>
      <c r="F60" s="112" t="n"/>
      <c r="G60" s="113">
        <f>G58+G59</f>
        <v/>
      </c>
      <c r="H60" s="114" t="n"/>
      <c r="I60" s="116" t="n"/>
      <c r="J60" s="115" t="n"/>
      <c r="K60" t="inlineStr"/>
      <c r="L60" t="inlineStr"/>
    </row>
    <row r="61">
      <c r="A61" s="66" t="inlineStr">
        <is>
          <t>备注：综合单价为不含税的全费用综合单价,单价包含但不限于管理费、规费、利润、材料二次转运、现场施工所需抽排水等全部费用；</t>
        </is>
      </c>
      <c r="B61" s="111" t="n"/>
      <c r="C61" s="111" t="n"/>
      <c r="D61" s="111" t="n"/>
      <c r="E61" s="111" t="n"/>
      <c r="F61" s="111" t="n"/>
      <c r="G61" s="111" t="n"/>
      <c r="H61" s="111" t="n"/>
      <c r="I61" s="111" t="n"/>
      <c r="J61" s="112" t="n"/>
      <c r="K61" t="inlineStr"/>
      <c r="L61" t="inlineStr"/>
    </row>
    <row r="62" customFormat="1" s="1">
      <c r="A62" s="71" t="inlineStr">
        <is>
          <t>发票类型：（必填）</t>
        </is>
      </c>
      <c r="B62" s="111" t="n"/>
      <c r="C62" s="112" t="n"/>
      <c r="D62" s="71" t="inlineStr">
        <is>
          <t>发票税率：（必填）</t>
        </is>
      </c>
      <c r="E62" s="111" t="n"/>
      <c r="F62" s="111" t="n"/>
      <c r="G62" s="111" t="n"/>
      <c r="H62" s="111" t="n"/>
      <c r="I62" s="111" t="n"/>
      <c r="J62" s="112" t="n"/>
      <c r="K62" t="inlineStr"/>
      <c r="L62" t="inlineStr"/>
    </row>
    <row r="63" customFormat="1" s="1">
      <c r="A63" s="71" t="inlineStr">
        <is>
          <t>厂家名称：</t>
        </is>
      </c>
      <c r="B63" s="111" t="n"/>
      <c r="C63" s="112" t="n"/>
      <c r="D63" s="80" t="inlineStr">
        <is>
          <t>联系人：</t>
        </is>
      </c>
      <c r="E63" s="111" t="n"/>
      <c r="F63" s="111" t="n"/>
      <c r="G63" s="111" t="n"/>
      <c r="H63" s="112" t="n"/>
      <c r="I63" s="70" t="inlineStr">
        <is>
          <t>厂家联系方式：</t>
        </is>
      </c>
      <c r="J63" s="112" t="n"/>
      <c r="K63" t="inlineStr"/>
      <c r="L63" t="inlineStr"/>
    </row>
    <row r="64">
      <c r="A64" s="117" t="inlineStr">
        <is>
          <t>项目地址：武汉市武汉东湖新技术开发区，未来一路以东、科技三路以南、桃林路以西、高新二路以北</t>
        </is>
      </c>
      <c r="B64" s="111" t="n"/>
      <c r="C64" s="111" t="n"/>
      <c r="D64" s="111" t="n"/>
      <c r="E64" s="111" t="n"/>
      <c r="F64" s="111" t="n"/>
      <c r="G64" s="111" t="n"/>
      <c r="H64" s="111" t="n"/>
      <c r="I64" s="111" t="n"/>
      <c r="J64" s="112" t="n"/>
      <c r="K64" t="inlineStr"/>
      <c r="L64" t="inlineStr"/>
    </row>
    <row r="65">
      <c r="A65" s="118" t="inlineStr">
        <is>
          <t>答疑人：卢瑞    17740548081</t>
        </is>
      </c>
      <c r="B65" s="99" t="n"/>
      <c r="C65" s="99" t="n"/>
      <c r="D65" s="99" t="n"/>
      <c r="E65" s="99" t="n"/>
      <c r="F65" s="99" t="n"/>
      <c r="G65" s="99" t="n"/>
      <c r="H65" s="99" t="n"/>
      <c r="I65" s="99" t="n"/>
      <c r="J65" s="100" t="n"/>
      <c r="K65" t="inlineStr"/>
      <c r="L65" t="inlineStr"/>
    </row>
    <row r="66" ht="243" customFormat="1" customHeight="1" s="3">
      <c r="A66" s="69" t="inlineStr">
        <is>
          <t>备注
1、甲供、分包人购买主材以清单备注为准，未明确甲供材、辅材等材料均由分包人购买；
2、项目部临电施工只负责至现场的二级配电箱，楼层临水由分包按项目部施工方案负责施工（包工包料），拆除时间以甲方通知为准；
3.按照工地安装的水电表读数显示的实际使用量计取，需综合考虑在不含税综合单价中；
4.现场有临建生活区，住宿费分包人自行缴纳相应费用；
5.招标清单中安全文明施工费暂按分部分项造价4.5%记取；
6、楼层涉及到超高操作施工，包含在综合单价内，超高施工不单独计算费用；
7、外墙施工如涉及到采用吊篮施工，分包人自行考虑相关费用，不单独计算费用；
8、材料品牌按建设单位要求执行，未按品牌表采购及施工的，分包人无条件承担相应损失及责任；
9、分包人自行考虑水泵房施工困难增加费用，不单独计算费用；
10.本工程要求交纳合同履约保证金，履约保证金的数额、交纳时间、退还时间等按照合同条款约定执行；
11.招标清单不可随意增加或减少，必须按清单逐项报价；
12.其他工期、质量等未尽要求以招标文件中的合同范本为准。
13.分包单位应配合进行封样送样，样品需经过承包方及业主方确认，样品确定后按照样品供货。
14.能源管理系统设备采用安科瑞、派诺、深圳中电。
15.建筑设备监控系统设备采用霍尼韦尔、江森、西门子。
16、能源管理及建筑设备监控系统服务器采用华为、中兴、浪潮。</t>
        </is>
      </c>
      <c r="B66" s="111" t="n"/>
      <c r="C66" s="111" t="n"/>
      <c r="D66" s="111" t="n"/>
      <c r="E66" s="111" t="n"/>
      <c r="F66" s="111" t="n"/>
      <c r="G66" s="111" t="n"/>
      <c r="H66" s="111" t="n"/>
      <c r="I66" s="111" t="n"/>
      <c r="J66" s="112" t="n"/>
      <c r="K66" t="inlineStr"/>
      <c r="L66" t="inlineStr"/>
    </row>
  </sheetData>
  <autoFilter ref="A4:J66"/>
  <mergeCells count="14">
    <mergeCell ref="A1:J1"/>
    <mergeCell ref="D62:J62"/>
    <mergeCell ref="A63:C63"/>
    <mergeCell ref="A60:F60"/>
    <mergeCell ref="A61:J61"/>
    <mergeCell ref="A3:J3"/>
    <mergeCell ref="D63:H63"/>
    <mergeCell ref="I63:J63"/>
    <mergeCell ref="A58:F58"/>
    <mergeCell ref="A62:C62"/>
    <mergeCell ref="A65:J65"/>
    <mergeCell ref="A64:J64"/>
    <mergeCell ref="A59:F59"/>
    <mergeCell ref="A66:J66"/>
  </mergeCells>
  <pageMargins left="0.7" right="0.7" top="0.75" bottom="0.75" header="0.3" footer="0.3"/>
  <pageSetup orientation="landscape" paperSize="9" scale="66" fitToHeight="0"/>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2023-05-24T01:50:00Z</dcterms:created>
  <dcterms:modified xmlns:dcterms="http://purl.org/dc/terms/" xmlns:xsi="http://www.w3.org/2001/XMLSchema-instance" xsi:type="dcterms:W3CDTF">2026-02-08T14:18:59Z</dcterms:modified>
  <cp:lastModifiedBy>容我三思</cp:lastModifiedBy>
  <cp:lastPrinted>2023-10-20T02:49:00Z</cp:lastPrint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8ED72BA16D104FEA936FF24ADE1AB38A_13</vt:lpwstr>
  </property>
  <property name="KSOProductBuildVer" fmtid="{D5CDD505-2E9C-101B-9397-08002B2CF9AE}" pid="3">
    <vt:lpwstr xmlns:vt="http://schemas.openxmlformats.org/officeDocument/2006/docPropsVTypes">2052-12.1.0.24657</vt:lpwstr>
  </property>
  <property name="CalculationRule" fmtid="{D5CDD505-2E9C-101B-9397-08002B2CF9AE}" pid="4">
    <vt:i4 xmlns:vt="http://schemas.openxmlformats.org/officeDocument/2006/docPropsVTypes">0</vt:i4>
  </property>
</Properties>
</file>