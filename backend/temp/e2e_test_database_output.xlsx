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_FilterDatabase" localSheetId="0" hidden="1">'Sheet1 (2)'!$A$4:$J$17</definedName>
    <definedName name="_xlnm.Print_Area" localSheetId="0">'Sheet1 (2)'!$A$1:$J$17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&quot;￥&quot;#,##0.00;&quot;￥&quot;\-#,##0.00"/>
  </numFmts>
  <fonts count="46">
    <font>
      <name val="宋体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color theme="1"/>
      <sz val="10"/>
    </font>
    <font>
      <name val="宋体"/>
      <charset val="134"/>
      <sz val="11"/>
    </font>
    <font>
      <name val="宋体"/>
      <charset val="134"/>
      <color theme="1"/>
      <sz val="9"/>
    </font>
    <font>
      <name val="宋体"/>
      <charset val="134"/>
      <b val="1"/>
      <color theme="1"/>
      <sz val="12"/>
    </font>
    <font>
      <name val="宋体"/>
      <charset val="134"/>
      <b val="1"/>
      <sz val="12"/>
    </font>
    <font>
      <name val="宋体"/>
      <charset val="134"/>
      <b val="1"/>
      <color theme="1"/>
      <sz val="9"/>
    </font>
    <font>
      <name val="宋体"/>
      <charset val="134"/>
      <color theme="1"/>
      <sz val="11"/>
      <u val="single"/>
    </font>
    <font>
      <name val="宋体"/>
      <charset val="134"/>
      <sz val="11"/>
      <u val="single"/>
    </font>
    <font>
      <name val="宋体"/>
      <charset val="134"/>
      <color theme="1"/>
      <sz val="9"/>
      <u val="single"/>
    </font>
    <font>
      <name val="宋体"/>
      <charset val="134"/>
      <sz val="9"/>
    </font>
    <font>
      <name val="宋体"/>
      <charset val="134"/>
      <color theme="1"/>
      <sz val="12"/>
    </font>
    <font>
      <name val="宋体"/>
      <charset val="134"/>
      <sz val="12"/>
    </font>
    <font>
      <name val="宋体"/>
      <charset val="134"/>
      <sz val="8"/>
    </font>
    <font>
      <name val="宋体"/>
      <charset val="134"/>
      <b val="1"/>
      <sz val="9"/>
    </font>
    <font>
      <name val="宋体"/>
      <charset val="0"/>
      <color theme="1"/>
      <sz val="10"/>
    </font>
    <font>
      <name val="仿宋"/>
      <charset val="134"/>
      <sz val="10"/>
    </font>
    <font>
      <name val="宋体"/>
      <charset val="134"/>
      <sz val="6"/>
    </font>
    <font>
      <name val="宋体"/>
      <charset val="134"/>
      <sz val="10"/>
    </font>
    <font>
      <name val="宋体"/>
      <charset val="134"/>
      <color rgb="FF000000"/>
      <sz val="11"/>
    </font>
    <font>
      <name val="宋体"/>
      <charset val="134"/>
      <color rgb="FF00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9"/>
      <scheme val="minor"/>
    </font>
    <font>
      <name val="Times New Roman"/>
      <charset val="134"/>
      <sz val="12"/>
    </font>
    <font>
      <name val="Helv"/>
      <charset val="134"/>
      <sz val="10"/>
    </font>
    <font>
      <name val="宋体"/>
      <charset val="134"/>
      <b val="1"/>
      <color rgb="FFFF0000"/>
      <sz val="11"/>
    </font>
    <font>
      <b val="1"/>
      <sz val="11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3D3D3"/>
        <bgColor rgb="00D3D3D3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55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2" borderId="14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15" applyAlignment="1">
      <alignment vertical="center"/>
    </xf>
    <xf numFmtId="0" fontId="28" fillId="0" borderId="15" applyAlignment="1">
      <alignment vertical="center"/>
    </xf>
    <xf numFmtId="0" fontId="29" fillId="0" borderId="16" applyAlignment="1">
      <alignment vertical="center"/>
    </xf>
    <xf numFmtId="0" fontId="29" fillId="0" borderId="0" applyAlignment="1">
      <alignment vertical="center"/>
    </xf>
    <xf numFmtId="0" fontId="30" fillId="3" borderId="17" applyAlignment="1">
      <alignment vertical="center"/>
    </xf>
    <xf numFmtId="0" fontId="31" fillId="4" borderId="18" applyAlignment="1">
      <alignment vertical="center"/>
    </xf>
    <xf numFmtId="0" fontId="32" fillId="4" borderId="17" applyAlignment="1">
      <alignment vertical="center"/>
    </xf>
    <xf numFmtId="0" fontId="33" fillId="5" borderId="19" applyAlignment="1">
      <alignment vertical="center"/>
    </xf>
    <xf numFmtId="0" fontId="34" fillId="0" borderId="20" applyAlignment="1">
      <alignment vertical="center"/>
    </xf>
    <xf numFmtId="0" fontId="35" fillId="0" borderId="21" applyAlignment="1">
      <alignment vertical="center"/>
    </xf>
    <xf numFmtId="0" fontId="36" fillId="6" borderId="0" applyAlignment="1">
      <alignment vertical="center"/>
    </xf>
    <xf numFmtId="0" fontId="37" fillId="7" borderId="0" applyAlignment="1">
      <alignment vertical="center"/>
    </xf>
    <xf numFmtId="0" fontId="38" fillId="8" borderId="0" applyAlignment="1">
      <alignment vertical="center"/>
    </xf>
    <xf numFmtId="0" fontId="39" fillId="9" borderId="0" applyAlignment="1">
      <alignment vertical="center"/>
    </xf>
    <xf numFmtId="0" fontId="40" fillId="10" borderId="0" applyAlignment="1">
      <alignment vertical="center"/>
    </xf>
    <xf numFmtId="0" fontId="40" fillId="11" borderId="0" applyAlignment="1">
      <alignment vertical="center"/>
    </xf>
    <xf numFmtId="0" fontId="39" fillId="12" borderId="0" applyAlignment="1">
      <alignment vertical="center"/>
    </xf>
    <xf numFmtId="0" fontId="39" fillId="13" borderId="0" applyAlignment="1">
      <alignment vertical="center"/>
    </xf>
    <xf numFmtId="0" fontId="40" fillId="14" borderId="0" applyAlignment="1">
      <alignment vertical="center"/>
    </xf>
    <xf numFmtId="0" fontId="40" fillId="15" borderId="0" applyAlignment="1">
      <alignment vertical="center"/>
    </xf>
    <xf numFmtId="0" fontId="39" fillId="16" borderId="0" applyAlignment="1">
      <alignment vertical="center"/>
    </xf>
    <xf numFmtId="0" fontId="39" fillId="17" borderId="0" applyAlignment="1">
      <alignment vertical="center"/>
    </xf>
    <xf numFmtId="0" fontId="40" fillId="18" borderId="0" applyAlignment="1">
      <alignment vertical="center"/>
    </xf>
    <xf numFmtId="0" fontId="40" fillId="19" borderId="0" applyAlignment="1">
      <alignment vertical="center"/>
    </xf>
    <xf numFmtId="0" fontId="39" fillId="20" borderId="0" applyAlignment="1">
      <alignment vertical="center"/>
    </xf>
    <xf numFmtId="0" fontId="39" fillId="21" borderId="0" applyAlignment="1">
      <alignment vertical="center"/>
    </xf>
    <xf numFmtId="0" fontId="40" fillId="22" borderId="0" applyAlignment="1">
      <alignment vertical="center"/>
    </xf>
    <xf numFmtId="0" fontId="40" fillId="23" borderId="0" applyAlignment="1">
      <alignment vertical="center"/>
    </xf>
    <xf numFmtId="0" fontId="39" fillId="24" borderId="0" applyAlignment="1">
      <alignment vertical="center"/>
    </xf>
    <xf numFmtId="0" fontId="39" fillId="25" borderId="0" applyAlignment="1">
      <alignment vertical="center"/>
    </xf>
    <xf numFmtId="0" fontId="40" fillId="26" borderId="0" applyAlignment="1">
      <alignment vertical="center"/>
    </xf>
    <xf numFmtId="0" fontId="40" fillId="27" borderId="0" applyAlignment="1">
      <alignment vertical="center"/>
    </xf>
    <xf numFmtId="0" fontId="39" fillId="28" borderId="0" applyAlignment="1">
      <alignment vertical="center"/>
    </xf>
    <xf numFmtId="0" fontId="39" fillId="29" borderId="0" applyAlignment="1">
      <alignment vertical="center"/>
    </xf>
    <xf numFmtId="0" fontId="40" fillId="30" borderId="0" applyAlignment="1">
      <alignment vertical="center"/>
    </xf>
    <xf numFmtId="0" fontId="40" fillId="31" borderId="0" applyAlignment="1">
      <alignment vertical="center"/>
    </xf>
    <xf numFmtId="0" fontId="39" fillId="32" borderId="0" applyAlignment="1">
      <alignment vertical="center"/>
    </xf>
    <xf numFmtId="0" fontId="4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2" fillId="0" borderId="0"/>
    <xf numFmtId="0" fontId="43" fillId="0" borderId="0" applyAlignment="1">
      <alignment vertical="center"/>
    </xf>
    <xf numFmtId="0" fontId="13" fillId="0" borderId="0" applyAlignment="1">
      <alignment vertical="center"/>
    </xf>
  </cellStyleXfs>
  <cellXfs count="110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8" fillId="0" borderId="4" pivotButton="0" quotePrefix="0" xfId="0"/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horizontal="left" wrapText="1"/>
    </xf>
    <xf numFmtId="0" fontId="8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164" fontId="13" fillId="0" borderId="9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4" fillId="0" borderId="10" applyAlignment="1" pivotButton="0" quotePrefix="0" xfId="54">
      <alignment horizontal="center" vertical="center" wrapText="1"/>
    </xf>
    <xf numFmtId="0" fontId="15" fillId="0" borderId="10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164" fontId="1" fillId="0" borderId="1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/>
    </xf>
    <xf numFmtId="164" fontId="2" fillId="0" borderId="10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 wrapText="1"/>
    </xf>
    <xf numFmtId="165" fontId="17" fillId="0" borderId="10" applyAlignment="1" pivotButton="0" quotePrefix="0" xfId="49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/>
    </xf>
    <xf numFmtId="0" fontId="14" fillId="0" borderId="10" applyAlignment="1" pivotButton="0" quotePrefix="0" xfId="0">
      <alignment horizontal="left" vertical="center" wrapText="1"/>
    </xf>
    <xf numFmtId="0" fontId="11" fillId="0" borderId="10" applyAlignment="1" pivotButton="0" quotePrefix="0" xfId="51">
      <alignment horizontal="left" vertical="center" wrapText="1"/>
    </xf>
    <xf numFmtId="0" fontId="11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/>
    </xf>
    <xf numFmtId="49" fontId="18" fillId="0" borderId="10" applyAlignment="1" pivotButton="0" quotePrefix="0" xfId="0">
      <alignment horizontal="left" vertical="center" wrapText="1"/>
    </xf>
    <xf numFmtId="0" fontId="14" fillId="0" borderId="10" applyAlignment="1" pivotButton="0" quotePrefix="0" xfId="53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left" vertical="center" wrapText="1"/>
    </xf>
    <xf numFmtId="0" fontId="12" fillId="0" borderId="10" applyAlignment="1" pivotButton="0" quotePrefix="0" xfId="0">
      <alignment horizontal="center" vertical="center"/>
    </xf>
    <xf numFmtId="164" fontId="14" fillId="0" borderId="10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 vertical="center"/>
    </xf>
    <xf numFmtId="164" fontId="19" fillId="0" borderId="10" applyAlignment="1" pivotButton="0" quotePrefix="0" xfId="0">
      <alignment horizontal="center" vertical="center" wrapText="1"/>
    </xf>
    <xf numFmtId="164" fontId="13" fillId="0" borderId="1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left" vertical="top" wrapText="1"/>
    </xf>
    <xf numFmtId="0" fontId="3" fillId="0" borderId="10" applyAlignment="1" pivotButton="0" quotePrefix="0" xfId="0">
      <alignment horizontal="center" vertical="top" wrapText="1"/>
    </xf>
    <xf numFmtId="0" fontId="2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20" fillId="0" borderId="1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left" vertical="center"/>
    </xf>
    <xf numFmtId="0" fontId="3" fillId="0" borderId="10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left" vertical="center"/>
    </xf>
    <xf numFmtId="0" fontId="20" fillId="0" borderId="12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20" fillId="0" borderId="12" applyAlignment="1" pivotButton="0" quotePrefix="0" xfId="0">
      <alignment horizontal="center" vertical="center"/>
    </xf>
    <xf numFmtId="0" fontId="20" fillId="0" borderId="12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left" vertical="center"/>
    </xf>
    <xf numFmtId="0" fontId="3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left" vertical="top" wrapText="1"/>
    </xf>
    <xf numFmtId="0" fontId="0" fillId="0" borderId="0" pivotButton="0" quotePrefix="0" xfId="0"/>
    <xf numFmtId="0" fontId="5" fillId="0" borderId="2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5" fillId="33" borderId="23" applyAlignment="1" pivotButton="0" quotePrefix="0" xfId="0">
      <alignment horizontal="center" vertical="center"/>
    </xf>
    <xf numFmtId="2" fontId="0" fillId="0" borderId="0" pivotButton="0" quotePrefix="0" xfId="0"/>
    <xf numFmtId="0" fontId="1" fillId="0" borderId="9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164" fontId="13" fillId="0" borderId="9" applyAlignment="1" pivotButton="0" quotePrefix="0" xfId="0">
      <alignment horizontal="center" vertical="center" wrapText="1"/>
    </xf>
    <xf numFmtId="164" fontId="1" fillId="0" borderId="10" applyAlignment="1" pivotButton="0" quotePrefix="0" xfId="0">
      <alignment horizontal="center" vertical="center" wrapText="1"/>
    </xf>
    <xf numFmtId="164" fontId="2" fillId="0" borderId="10" applyAlignment="1" pivotButton="0" quotePrefix="0" xfId="0">
      <alignment horizontal="center" vertical="center"/>
    </xf>
    <xf numFmtId="165" fontId="17" fillId="0" borderId="10" applyAlignment="1" pivotButton="0" quotePrefix="0" xfId="49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164" fontId="14" fillId="0" borderId="10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 vertical="center"/>
    </xf>
    <xf numFmtId="164" fontId="19" fillId="0" borderId="10" applyAlignment="1" pivotButton="0" quotePrefix="0" xfId="0">
      <alignment horizontal="center" vertical="center" wrapText="1"/>
    </xf>
    <xf numFmtId="164" fontId="13" fillId="0" borderId="1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_AVAYA-PRICE-模板-v1" xfId="50"/>
    <cellStyle name="常规_AVAYA-PRICE-模板-v1_三号清单（监控系统） 2 2" xfId="51"/>
    <cellStyle name="常规_26楼综合布线系统报价" xfId="52"/>
    <cellStyle name="_清单报价-欢乐海岸" xfId="53"/>
    <cellStyle name="常规 3" xfId="5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tabSelected="1" view="pageBreakPreview" zoomScaleNormal="100" workbookViewId="0">
      <pane ySplit="4" topLeftCell="A5" activePane="bottomLeft" state="frozen"/>
      <selection activeCell="A1" sqref="A1"/>
      <selection pane="bottomLeft" activeCell="C8" sqref="C8"/>
    </sheetView>
  </sheetViews>
  <sheetFormatPr baseColWidth="8" defaultColWidth="9" defaultRowHeight="13.5"/>
  <cols>
    <col width="6.45833333333333" customWidth="1" style="3" min="1" max="1"/>
    <col width="16.2583333333333" customWidth="1" style="4" min="2" max="2"/>
    <col width="75.19166666666671" customWidth="1" style="5" min="3" max="3"/>
    <col width="6.90833333333333" customWidth="1" style="3" min="4" max="4"/>
    <col width="9.66666666666667" customWidth="1" style="3" min="5" max="5"/>
    <col width="13.4583333333333" customWidth="1" style="3" min="6" max="6"/>
    <col width="12.8166666666667" customWidth="1" style="6" min="7" max="7"/>
    <col width="14.0416666666667" customWidth="1" style="3" min="8" max="8"/>
    <col width="26.7666666666667" customWidth="1" style="7" min="9" max="9"/>
    <col width="20" customWidth="1" style="7" min="10" max="10"/>
    <col width="60" customWidth="1" style="3" min="11" max="16384"/>
    <col width="12" customWidth="1" style="89" min="12" max="12"/>
  </cols>
  <sheetData>
    <row r="1" ht="14.25" customHeight="1" s="89">
      <c r="A1" s="90" t="inlineStr">
        <is>
          <t>投标报价函</t>
        </is>
      </c>
      <c r="B1" s="91" t="n"/>
      <c r="C1" s="91" t="n"/>
      <c r="D1" s="91" t="n"/>
      <c r="E1" s="91" t="n"/>
      <c r="F1" s="91" t="n"/>
      <c r="G1" s="91" t="n"/>
      <c r="H1" s="91" t="n"/>
      <c r="I1" s="91" t="n"/>
      <c r="J1" s="92" t="n"/>
      <c r="K1" s="93" t="inlineStr">
        <is>
          <t>匹配设备</t>
        </is>
      </c>
      <c r="L1" s="93" t="inlineStr">
        <is>
          <t>单价</t>
        </is>
      </c>
    </row>
    <row r="2" customFormat="1" s="1">
      <c r="A2" s="14" t="inlineStr">
        <is>
          <t>中建三局安装工程有限公司华中大区：</t>
        </is>
      </c>
      <c r="B2" s="15" t="n"/>
      <c r="C2" s="16" t="n"/>
      <c r="D2" s="17" t="n"/>
      <c r="E2" s="17" t="n"/>
      <c r="F2" s="17" t="n"/>
      <c r="G2" s="18" t="n"/>
      <c r="H2" s="17" t="n"/>
      <c r="I2" s="19" t="n"/>
      <c r="J2" s="20" t="n"/>
      <c r="K2" t="inlineStr"/>
      <c r="L2" s="94" t="n">
        <v>0</v>
      </c>
    </row>
    <row r="3" customFormat="1" s="1">
      <c r="A3" s="95" t="inlineStr">
        <is>
          <t>1、根据已收到武汉新城科创金融总部一期（首期）项目建筑设备监控及能源管理系统专业分包工程的招标文件，我单位经考察现场和研究上述工程招标文件后，我方报价如下：</t>
        </is>
      </c>
      <c r="B3" s="96" t="n"/>
      <c r="C3" s="96" t="n"/>
      <c r="D3" s="96" t="n"/>
      <c r="E3" s="96" t="n"/>
      <c r="F3" s="96" t="n"/>
      <c r="G3" s="96" t="n"/>
      <c r="H3" s="96" t="n"/>
      <c r="I3" s="96" t="n"/>
      <c r="J3" s="97" t="n"/>
      <c r="K3" t="inlineStr"/>
      <c r="L3" s="94" t="n">
        <v>0</v>
      </c>
    </row>
    <row r="4" ht="28.5" customHeight="1" s="89">
      <c r="A4" s="27" t="inlineStr">
        <is>
          <t>序号</t>
        </is>
      </c>
      <c r="B4" s="28" t="inlineStr">
        <is>
          <t>项目名称</t>
        </is>
      </c>
      <c r="C4" s="29" t="inlineStr">
        <is>
          <t>项目特征</t>
        </is>
      </c>
      <c r="D4" s="27" t="inlineStr">
        <is>
          <t>单位</t>
        </is>
      </c>
      <c r="E4" s="27" t="inlineStr">
        <is>
          <t>工程量</t>
        </is>
      </c>
      <c r="F4" s="30" t="inlineStr">
        <is>
          <t>综合单价（不含税）</t>
        </is>
      </c>
      <c r="G4" s="98" t="inlineStr">
        <is>
          <t>合价    （不含税）</t>
        </is>
      </c>
      <c r="H4" s="98" t="inlineStr">
        <is>
          <t>工程量计算规则</t>
        </is>
      </c>
      <c r="I4" s="98" t="inlineStr">
        <is>
          <t>工作内容</t>
        </is>
      </c>
      <c r="J4" s="32" t="inlineStr">
        <is>
          <t>备注</t>
        </is>
      </c>
      <c r="K4" t="inlineStr"/>
      <c r="L4" t="inlineStr"/>
    </row>
    <row r="5" customFormat="1" s="2">
      <c r="A5" s="33" t="n"/>
      <c r="B5" s="34" t="inlineStr">
        <is>
          <t>能源管理系统</t>
        </is>
      </c>
      <c r="C5" s="35" t="n"/>
      <c r="D5" s="36" t="n"/>
      <c r="E5" s="99" t="n"/>
      <c r="F5" s="38" t="n"/>
      <c r="G5" s="100" t="n"/>
      <c r="H5" s="40" t="n"/>
      <c r="I5" s="101" t="n"/>
      <c r="J5" s="42" t="n"/>
      <c r="K5" t="inlineStr"/>
      <c r="L5" s="94" t="n">
        <v>0</v>
      </c>
    </row>
    <row r="6" ht="45" customFormat="1" customHeight="1" s="2">
      <c r="A6" s="43" t="n">
        <v>35</v>
      </c>
      <c r="B6" s="44" t="inlineStr">
        <is>
          <t>CO浓度探测器</t>
        </is>
      </c>
      <c r="C6" s="45" t="inlineStr">
        <is>
          <t>1.名称:CO浓度探测器
2.规格参数：工作原理：电化学式； 量程 0~ 250ppm ；输出信号 4~20mA / 2~10VDC；精度±5%  @25C. 50% RH（0~100  ppm）
3.施工要求:按照图纸、规范及清单要求配置并施工调试到位，并达到验收使用要求。</t>
        </is>
      </c>
      <c r="D6" s="46" t="inlineStr">
        <is>
          <t>个</t>
        </is>
      </c>
      <c r="E6" s="47" t="n">
        <v>37</v>
      </c>
      <c r="F6" s="38" t="n"/>
      <c r="G6" s="100">
        <f>E6*F6</f>
        <v/>
      </c>
      <c r="H6" s="40" t="n"/>
      <c r="I6" s="48" t="inlineStr">
        <is>
          <t>含该项施工内容所包含的全部主材、辅材及配件的采购、运输、保管，转运及施工，施龚满足设计及规范要求并通过验收</t>
        </is>
      </c>
      <c r="J6" s="49" t="n"/>
      <c r="K6" t="inlineStr"/>
      <c r="L6" s="94" t="n">
        <v>0</v>
      </c>
    </row>
    <row r="7" ht="45" customFormat="1" customHeight="1" s="2">
      <c r="A7" s="43" t="n">
        <v>36</v>
      </c>
      <c r="B7" s="44" t="inlineStr">
        <is>
          <t>室内CO2传感器</t>
        </is>
      </c>
      <c r="C7" s="45" t="inlineStr">
        <is>
          <t>1.名称:室内CO2传感器
2.规格：485传输方式，量程0-2000ppm ；输出信号 4~20mA / 2~10VDC；精度±5%  @25C. 50% RH（0~100  ppm），485通讯
3.施工要求:按照图纸、规范及清单要求配置并施工调试到位，并达到验收使用要求。</t>
        </is>
      </c>
      <c r="D7" s="46" t="inlineStr">
        <is>
          <t>个</t>
        </is>
      </c>
      <c r="E7" s="47" t="n">
        <v>53</v>
      </c>
      <c r="F7" s="38" t="n"/>
      <c r="G7" s="100">
        <f>E7*F7</f>
        <v/>
      </c>
      <c r="H7" s="40" t="n"/>
      <c r="I7" s="48" t="inlineStr">
        <is>
          <t>含该项施工内容所包含的全部主材、辅材及配件的采购、运输、保管，转运及施工，施龚满足设计及规范要求并通过验收</t>
        </is>
      </c>
      <c r="J7" s="49" t="n"/>
      <c r="K7" t="inlineStr">
        <is>
          <t>通用 室内CO2传感器  1.名称:室内CO2传感器
2.规格：485传输方式，量程0-2000ppm ；输出信号 4~20mA / 2~10VDC；精度±5%  @25C. 50% RH（0~100  ppm），485通讯
3.施工要求:按照图纸、规范及清单要求配置并施工调试到位，并达到验收使用要求。</t>
        </is>
      </c>
      <c r="L7" s="94" t="n">
        <v>1000</v>
      </c>
    </row>
    <row r="8" ht="45" customFormat="1" customHeight="1" s="2">
      <c r="A8" s="43" t="n">
        <v>37</v>
      </c>
      <c r="B8" s="44" t="inlineStr">
        <is>
          <t>室内PM传感器</t>
        </is>
      </c>
      <c r="C8" s="45" t="inlineStr">
        <is>
          <t>1.名称:室内PM传感器
2.规格：485传输方式，量程0～1000 ug/m3 ；输出信号 4~20mA / 2~10VDC；精度±10%  @25C；分辨率：1 ug/m3，485通讯
3.施工要求:按照图纸、规范及清单要求配置并施工调试到位，并达到验收使用要求。</t>
        </is>
      </c>
      <c r="D8" s="46" t="inlineStr">
        <is>
          <t>个</t>
        </is>
      </c>
      <c r="E8" s="47" t="n">
        <v>53</v>
      </c>
      <c r="F8" s="38" t="n"/>
      <c r="G8" s="100">
        <f>E8*F8</f>
        <v/>
      </c>
      <c r="H8" s="40" t="n"/>
      <c r="I8" s="48" t="inlineStr">
        <is>
          <t>含该项施工内容所包含的全部主材、辅材及配件的采购、运输、保管，转运及施工，施龚满足设计及规范要求并通过验收</t>
        </is>
      </c>
      <c r="J8" s="49" t="n"/>
      <c r="K8" t="inlineStr">
        <is>
          <t>通用 室内PM传感器  1.名称:室内PM传感器
2.规格：485传输方式，量程0～1000 ug/m3 ；输出信号 4~20mA / 2~10VDC；精度±10%  @25C；分辨率：1 ug/m3，485通讯
3.施工要求:按照图纸、规范及清单要求配置并施工调试到位，并达到验收使用要求。</t>
        </is>
      </c>
      <c r="L8" s="94" t="n">
        <v>1000</v>
      </c>
    </row>
    <row r="9" ht="14.25" customHeight="1" s="89">
      <c r="A9" s="50" t="inlineStr">
        <is>
          <t>不含税合计：</t>
        </is>
      </c>
      <c r="B9" s="102" t="n"/>
      <c r="C9" s="102" t="n"/>
      <c r="D9" s="102" t="n"/>
      <c r="E9" s="102" t="n"/>
      <c r="F9" s="103" t="n"/>
      <c r="G9" s="104">
        <f>SUM(G6:G8)</f>
        <v/>
      </c>
      <c r="H9" s="105" t="n"/>
      <c r="I9" s="48" t="n"/>
      <c r="J9" s="106" t="n"/>
      <c r="K9" t="inlineStr"/>
      <c r="L9" t="inlineStr"/>
    </row>
    <row r="10" ht="14.25" customHeight="1" s="89">
      <c r="A10" s="50" t="inlineStr">
        <is>
          <t>税金：（9%）</t>
        </is>
      </c>
      <c r="B10" s="102" t="n"/>
      <c r="C10" s="102" t="n"/>
      <c r="D10" s="102" t="n"/>
      <c r="E10" s="102" t="n"/>
      <c r="F10" s="103" t="n"/>
      <c r="G10" s="104">
        <f>G9*0.09</f>
        <v/>
      </c>
      <c r="H10" s="105" t="n"/>
      <c r="I10" s="107" t="n"/>
      <c r="J10" s="106" t="n"/>
      <c r="K10" t="inlineStr"/>
      <c r="L10" s="94" t="n">
        <v>0</v>
      </c>
    </row>
    <row r="11" ht="14.25" customHeight="1" s="89">
      <c r="A11" s="50" t="inlineStr">
        <is>
          <t>含税合计：</t>
        </is>
      </c>
      <c r="B11" s="102" t="n"/>
      <c r="C11" s="102" t="n"/>
      <c r="D11" s="102" t="n"/>
      <c r="E11" s="102" t="n"/>
      <c r="F11" s="103" t="n"/>
      <c r="G11" s="104">
        <f>G9+G10</f>
        <v/>
      </c>
      <c r="H11" s="105" t="n"/>
      <c r="I11" s="107" t="n"/>
      <c r="J11" s="106" t="n"/>
      <c r="K11" t="inlineStr"/>
      <c r="L11" t="inlineStr"/>
    </row>
    <row r="12">
      <c r="A12" s="58" t="inlineStr">
        <is>
          <t>备注：综合单价为不含税的全费用综合单价,单价包含但不限于管理费、规费、利润、材料二次转运、现场施工所需抽排水等全部费用；</t>
        </is>
      </c>
      <c r="B12" s="102" t="n"/>
      <c r="C12" s="102" t="n"/>
      <c r="D12" s="102" t="n"/>
      <c r="E12" s="102" t="n"/>
      <c r="F12" s="102" t="n"/>
      <c r="G12" s="102" t="n"/>
      <c r="H12" s="102" t="n"/>
      <c r="I12" s="102" t="n"/>
      <c r="J12" s="103" t="n"/>
      <c r="K12" t="inlineStr"/>
      <c r="L12" t="inlineStr"/>
    </row>
    <row r="13" customFormat="1" s="1">
      <c r="A13" s="63" t="inlineStr">
        <is>
          <t>发票类型：（必填）</t>
        </is>
      </c>
      <c r="B13" s="102" t="n"/>
      <c r="C13" s="103" t="n"/>
      <c r="D13" s="63" t="inlineStr">
        <is>
          <t>发票税率：（必填）</t>
        </is>
      </c>
      <c r="E13" s="102" t="n"/>
      <c r="F13" s="102" t="n"/>
      <c r="G13" s="102" t="n"/>
      <c r="H13" s="102" t="n"/>
      <c r="I13" s="102" t="n"/>
      <c r="J13" s="103" t="n"/>
      <c r="K13" t="inlineStr"/>
      <c r="L13" s="94" t="n">
        <v>0</v>
      </c>
    </row>
    <row r="14" customFormat="1" s="1">
      <c r="A14" s="63" t="inlineStr">
        <is>
          <t>厂家名称：</t>
        </is>
      </c>
      <c r="B14" s="102" t="n"/>
      <c r="C14" s="103" t="n"/>
      <c r="D14" s="72" t="inlineStr">
        <is>
          <t>联系人：</t>
        </is>
      </c>
      <c r="E14" s="102" t="n"/>
      <c r="F14" s="102" t="n"/>
      <c r="G14" s="102" t="n"/>
      <c r="H14" s="103" t="n"/>
      <c r="I14" s="62" t="inlineStr">
        <is>
          <t>厂家联系方式：</t>
        </is>
      </c>
      <c r="J14" s="103" t="n"/>
      <c r="K14" t="inlineStr"/>
      <c r="L14" s="94" t="n">
        <v>0</v>
      </c>
    </row>
    <row r="15">
      <c r="A15" s="108" t="inlineStr">
        <is>
          <t>项目地址：武汉市武汉东湖新技术开发区，未来一路以东、科技三路以南、桃林路以西、高新二路以北</t>
        </is>
      </c>
      <c r="B15" s="102" t="n"/>
      <c r="C15" s="102" t="n"/>
      <c r="D15" s="102" t="n"/>
      <c r="E15" s="102" t="n"/>
      <c r="F15" s="102" t="n"/>
      <c r="G15" s="102" t="n"/>
      <c r="H15" s="102" t="n"/>
      <c r="I15" s="102" t="n"/>
      <c r="J15" s="103" t="n"/>
      <c r="K15" t="inlineStr"/>
      <c r="L15" s="94" t="n">
        <v>0</v>
      </c>
    </row>
    <row r="16">
      <c r="A16" s="109" t="inlineStr">
        <is>
          <t>答疑人：卢瑞    17740548081</t>
        </is>
      </c>
      <c r="B16" s="91" t="n"/>
      <c r="C16" s="91" t="n"/>
      <c r="D16" s="91" t="n"/>
      <c r="E16" s="91" t="n"/>
      <c r="F16" s="91" t="n"/>
      <c r="G16" s="91" t="n"/>
      <c r="H16" s="91" t="n"/>
      <c r="I16" s="91" t="n"/>
      <c r="J16" s="92" t="n"/>
      <c r="K16" t="inlineStr"/>
      <c r="L16" s="94" t="n">
        <v>0</v>
      </c>
    </row>
    <row r="17" ht="243" customFormat="1" customHeight="1" s="3">
      <c r="A17" s="61" t="inlineStr">
        <is>
          <t>备注
1、甲供、分包人购买主材以清单备注为准，未明确甲供材、辅材等材料均由分包人购买；
2、项目部临电施工只负责至现场的二级配电箱，楼层临水由分包按项目部施工方案负责施工（包工包料），拆除时间以甲方通知为准；
3.按照工地安装的水电表读数显示的实际使用量计取，需综合考虑在不含税综合单价中；
4.现场有临建生活区，住宿费分包人自行缴纳相应费用；
5.招标清单中安全文明施工费暂按分部分项造价4.5%记取；
6、楼层涉及到超高操作施工，包含在综合单价内，超高施工不单独计算费用；
7、外墙施工如涉及到采用吊篮施工，分包人自行考虑相关费用，不单独计算费用；
8、材料品牌按建设单位要求执行，未按品牌表采购及施工的，分包人无条件承担相应损失及责任；
9、分包人自行考虑水泵房施工困难增加费用，不单独计算费用；
10.本工程要求交纳合同履约保证金，履约保证金的数额、交纳时间、退还时间等按照合同条款约定执行；
11.招标清单不可随意增加或减少，必须按清单逐项报价；
12.其他工期、质量等未尽要求以招标文件中的合同范本为准。
13.分包单位应配合进行封样送样，样品需经过承包方及业主方确认，样品确定后按照样品供货。
14.能源管理系统设备采用安科瑞、派诺、深圳中电。
15.建筑设备监控系统设备采用霍尼韦尔、江森、西门子。
16、能源管理及建筑设备监控系统服务器采用华为、中兴、浪潮。</t>
        </is>
      </c>
      <c r="B17" s="102" t="n"/>
      <c r="C17" s="102" t="n"/>
      <c r="D17" s="102" t="n"/>
      <c r="E17" s="102" t="n"/>
      <c r="F17" s="102" t="n"/>
      <c r="G17" s="102" t="n"/>
      <c r="H17" s="102" t="n"/>
      <c r="I17" s="102" t="n"/>
      <c r="J17" s="103" t="n"/>
      <c r="K17" t="inlineStr"/>
      <c r="L17" t="inlineStr"/>
    </row>
  </sheetData>
  <autoFilter ref="A4:J17"/>
  <mergeCells count="14">
    <mergeCell ref="A1:J1"/>
    <mergeCell ref="A11:F11"/>
    <mergeCell ref="A13:C13"/>
    <mergeCell ref="A10:F10"/>
    <mergeCell ref="I14:J14"/>
    <mergeCell ref="A17:J17"/>
    <mergeCell ref="A14:C14"/>
    <mergeCell ref="A9:F9"/>
    <mergeCell ref="A3:J3"/>
    <mergeCell ref="A12:J12"/>
    <mergeCell ref="A15:J15"/>
    <mergeCell ref="D14:H14"/>
    <mergeCell ref="A16:J16"/>
    <mergeCell ref="D13:J13"/>
  </mergeCells>
  <pageMargins left="0.7" right="0.7" top="0.75" bottom="0.75" header="0.3" footer="0.3"/>
  <pageSetup orientation="landscape" paperSize="9" scale="66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2023-05-24T01:50:00Z</dcterms:created>
  <dcterms:modified xmlns:dcterms="http://purl.org/dc/terms/" xmlns:xsi="http://www.w3.org/2001/XMLSchema-instance" xsi:type="dcterms:W3CDTF">2026-02-12T12:06:32Z</dcterms:modified>
  <cp:lastModifiedBy>容我三思</cp:lastModifiedBy>
  <cp:lastPrinted>2023-10-20T02:49:00Z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67FD05C5B67847F3BBD91261EAA10812_13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0</vt:i4>
  </property>
</Properties>
</file>