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 (2)" sheetId="2" r:id="rId1"/>
  </sheets>
  <definedNames>
    <definedName name="_xlnm._FilterDatabase" localSheetId="0" hidden="1">'Sheet1 (2)'!$A$4:$J$18</definedName>
    <definedName name="_xlnm.Print_Area" localSheetId="0">'Sheet1 (2)'!$A$1:$J$18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<sst xmlns="http://schemas.openxmlformats.org/spreadsheetml/2006/main" count="42" uniqueCount="36">
  <si>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投标报价函</t>
  </si>
  <si>
    <t>中建三局安装工程有限公司华中大区：</t>
  </si>
  <si>
    <t>1、根据已收到武汉新城科创金融总部一期（首期）项目建筑设备监控及能源管理系统专业分包工程的招标文件，我单位经考察现场和研究上述工程招标文件后，我方报价如下：</t>
  </si>
  <si>
    <t>序号</t>
  </si>
  <si>
    <t>项目名称</t>
  </si>
  <si>
    <t>项目特征</t>
  </si>
  <si>
    <t>单位</t>
  </si>
  <si>
    <t>工程量</t>
  </si>
  <si>
    <t>综合单价（不含税）</t>
  </si>
  <si>
    <t>合价    （不含税）</t>
  </si>
  <si>
    <t>工程量计算规则</t>
  </si>
  <si>
    <t>工作内容</t>
  </si>
  <si>
    <t>备注</t>
  </si>
  <si>
    <t>能源管理系统</t>
  </si>
  <si>
    <t>CO浓度探测器</t>
  </si>
  <si>
    <t>1.名称:CO浓度探测器
2.规格参数：工作原理：电化学式； 量程 0~ 250ppm ；输出信号 4~20mA / 2~10VDC；精度±5%  @25C. 50% RH（0~100  ppm）
3.施工要求:按照图纸、规范及清单要求配置并施工调试到位，并达到验收使用要求。</t>
  </si>
  <si>
    <t>个</t>
  </si>
  <si>
    <t>含该项施工内容所包含的全部主材、辅材及配件的采购、运输、保管，转运及施工，施龚满足设计及规范要求并通过验收</t>
  </si>
  <si>
    <t>室内CO2传感器</t>
  </si>
  <si>
    <t>1.名称:室内CO2传感器
2.规格：485传输方式，量程0-2000ppm ；输出信号 4~20mA / 2~10VDC；精度±5%  @25C. 50% RH（0~100  ppm），485通讯
3.施工要求:按照图纸、规范及清单要求配置并施工调试到位，并达到验收使用要求。</t>
  </si>
  <si>
    <t>温湿度传感器</t>
  </si>
  <si>
    <t>湿度精度：2%</t>
  </si>
  <si>
    <t>室内PM传感器</t>
  </si>
  <si>
    <t>1.名称:室内PM传感器
2.规格：485传输方式，量程0～1000 ug/m3 ；输出信号 4~20mA / 2~10VDC；精度±10%  @25C；分辨率：1 ug/m3，485通讯
3.施工要求:按照图纸、规范及清单要求配置并施工调试到位，并达到验收使用要求。</t>
  </si>
  <si>
    <t>不含税合计：</t>
  </si>
  <si>
    <t>税金：（9%）</t>
  </si>
  <si>
    <t>含税合计：</t>
  </si>
  <si>
    <t>备注：综合单价为不含税的全费用综合单价,单价包含但不限于管理费、规费、利润、材料二次转运、现场施工所需抽排水等全部费用；</t>
  </si>
  <si>
    <r>
      <rPr>
        <sz val="11"/>
        <color rgb="FF000000"/>
        <rFont val="宋体"/>
        <charset val="134"/>
      </rPr>
      <t>发票类型：</t>
    </r>
    <r>
      <rPr>
        <b/>
        <sz val="11"/>
        <color rgb="FFFF0000"/>
        <rFont val="宋体"/>
        <charset val="134"/>
      </rPr>
      <t>（必填）</t>
    </r>
  </si>
  <si>
    <r>
      <rPr>
        <sz val="11"/>
        <color rgb="FF000000"/>
        <rFont val="宋体"/>
        <charset val="134"/>
      </rPr>
      <t>发票税率：</t>
    </r>
    <r>
      <rPr>
        <b/>
        <sz val="11"/>
        <color rgb="FFFF0000"/>
        <rFont val="宋体"/>
        <charset val="134"/>
      </rPr>
      <t>（必填）</t>
    </r>
  </si>
  <si>
    <t>厂家名称：</t>
  </si>
  <si>
    <t>联系人：</t>
  </si>
  <si>
    <t>厂家联系方式：</t>
  </si>
  <si>
    <t>项目地址：武汉市武汉东湖新技术开发区，未来一路以东、科技三路以南、桃林路以西、高新二路以北</t>
  </si>
  <si>
    <t>答疑人：卢瑞    17740548081</t>
  </si>
  <si>
    <t>备注
1、甲供、分包人购买主材以清单备注为准，未明确甲供材、辅材等材料均由分包人购买；
2、项目部临电施工只负责至现场的二级配电箱，楼层临水由分包按项目部施工方案负责施工（包工包料），拆除时间以甲方通知为准；
3.按照工地安装的水电表读数显示的实际使用量计取，需综合考虑在不含税综合单价中；
4.现场有临建生活区，住宿费分包人自行缴纳相应费用；
5.招标清单中安全文明施工费暂按分部分项造价4.5%记取；
6、楼层涉及到超高操作施工，包含在综合单价内，超高施工不单独计算费用；
7、外墙施工如涉及到采用吊篮施工，分包人自行考虑相关费用，不单独计算费用；
8、材料品牌按建设单位要求执行，未按品牌表采购及施工的，分包人无条件承担相应损失及责任；
9、分包人自行考虑水泵房施工困难增加费用，不单独计算费用；
10.本工程要求交纳合同履约保证金，履约保证金的数额、交纳时间、退还时间等按照合同条款约定执行；
11.招标清单不可随意增加或减少，必须按清单逐项报价；
12.其他工期、质量等未尽要求以招标文件中的合同范本为准。
13.分包单位应配合进行封样送样，样品需经过承包方及业主方确认，样品确定后按照样品供货。
14.能源管理系统设备采用安科瑞、派诺、深圳中电。
15.建筑设备监控系统设备采用霍尼韦尔、江森、西门子。
16、能源管理及建筑设备监控系统服务器采用华为、中兴、浪潮。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</si>
</sst>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1"/>
      <name val="宋体"/>
      <charset val="134"/>
    </font>
    <font>
      <sz val="9"/>
      <color theme="1"/>
      <name val="宋体"/>
      <charset val="134"/>
    </font>
    <font>
      <b/>
      <sz val="12"/>
      <color theme="1"/>
      <name val="宋体"/>
      <charset val="134"/>
    </font>
    <font>
      <b/>
      <sz val="12"/>
      <name val="宋体"/>
      <charset val="134"/>
    </font>
    <font>
      <b/>
      <sz val="9"/>
      <color theme="1"/>
      <name val="宋体"/>
      <charset val="134"/>
    </font>
    <font>
      <u/>
      <sz val="11"/>
      <color theme="1"/>
      <name val="宋体"/>
      <charset val="134"/>
    </font>
    <font>
      <u/>
      <sz val="11"/>
      <name val="宋体"/>
      <charset val="134"/>
    </font>
    <font>
      <u/>
      <sz val="9"/>
      <color theme="1"/>
      <name val="宋体"/>
      <charset val="134"/>
    </font>
    <font>
      <sz val="9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8"/>
      <name val="宋体"/>
      <charset val="134"/>
    </font>
    <font>
      <b/>
      <sz val="9"/>
      <name val="宋体"/>
      <charset val="134"/>
    </font>
    <font>
      <sz val="10"/>
      <color theme="1"/>
      <name val="宋体"/>
      <charset val="0"/>
    </font>
    <font>
      <sz val="10"/>
      <name val="仿宋"/>
      <charset val="134"/>
    </font>
    <font>
      <sz val="6"/>
      <name val="宋体"/>
      <charset val="134"/>
    </font>
    <font>
      <sz val="10"/>
      <name val="宋体"/>
      <charset val="134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  <scheme val="minor"/>
    </font>
    <font>
      <sz val="12"/>
      <name val="Times New Roman"/>
      <charset val="134"/>
    </font>
    <font>
      <sz val="10"/>
      <name val="Helv"/>
      <charset val="134"/>
    </font>
    <font>
      <b/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7" applyNumberFormat="0" applyAlignment="0" applyProtection="0">
      <alignment vertical="center"/>
    </xf>
    <xf numFmtId="0" fontId="31" fillId="4" borderId="18" applyNumberFormat="0" applyAlignment="0" applyProtection="0">
      <alignment vertical="center"/>
    </xf>
    <xf numFmtId="0" fontId="32" fillId="4" borderId="17" applyNumberFormat="0" applyAlignment="0" applyProtection="0">
      <alignment vertical="center"/>
    </xf>
    <xf numFmtId="0" fontId="33" fillId="5" borderId="19" applyNumberFormat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1" fillId="0" borderId="0"/>
    <xf numFmtId="0" fontId="13" fillId="0" borderId="0" applyBorder="0">
      <alignment vertical="center"/>
    </xf>
    <xf numFmtId="0" fontId="13" fillId="0" borderId="0" applyBorder="0">
      <alignment vertical="center"/>
    </xf>
    <xf numFmtId="0" fontId="42" fillId="0" borderId="0" applyBorder="0"/>
    <xf numFmtId="0" fontId="43" fillId="0" borderId="0" applyBorder="0">
      <alignment vertical="center"/>
    </xf>
    <xf numFmtId="0" fontId="13" fillId="0" borderId="0">
      <alignment vertical="center"/>
    </xf>
  </cellStyleXfs>
  <cellXfs count="8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/>
    <xf numFmtId="0" fontId="9" fillId="0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left" wrapText="1"/>
    </xf>
    <xf numFmtId="0" fontId="8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176" fontId="13" fillId="0" borderId="9" xfId="0" applyNumberFormat="1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4" fillId="0" borderId="10" xfId="54" applyNumberFormat="1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176" fontId="1" fillId="0" borderId="10" xfId="0" applyNumberFormat="1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/>
    </xf>
    <xf numFmtId="176" fontId="2" fillId="0" borderId="10" xfId="0" applyNumberFormat="1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 wrapText="1"/>
    </xf>
    <xf numFmtId="7" fontId="17" fillId="0" borderId="10" xfId="49" applyNumberFormat="1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left" vertical="center" wrapText="1"/>
    </xf>
    <xf numFmtId="0" fontId="11" fillId="0" borderId="10" xfId="51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/>
    </xf>
    <xf numFmtId="49" fontId="18" fillId="0" borderId="10" xfId="0" applyNumberFormat="1" applyFont="1" applyFill="1" applyBorder="1" applyAlignment="1">
      <alignment horizontal="left" vertical="center" wrapText="1"/>
    </xf>
    <xf numFmtId="0" fontId="14" fillId="0" borderId="10" xfId="53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center" vertical="center"/>
    </xf>
    <xf numFmtId="176" fontId="14" fillId="0" borderId="10" xfId="0" applyNumberFormat="1" applyFont="1" applyFill="1" applyBorder="1" applyAlignment="1">
      <alignment horizontal="center" vertical="center"/>
    </xf>
    <xf numFmtId="176" fontId="13" fillId="0" borderId="10" xfId="0" applyNumberFormat="1" applyFont="1" applyFill="1" applyBorder="1" applyAlignment="1">
      <alignment horizontal="center" vertical="center"/>
    </xf>
    <xf numFmtId="176" fontId="19" fillId="0" borderId="10" xfId="0" applyNumberFormat="1" applyFont="1" applyFill="1" applyBorder="1" applyAlignment="1">
      <alignment horizontal="center" vertical="center" wrapText="1"/>
    </xf>
    <xf numFmtId="176" fontId="13" fillId="0" borderId="10" xfId="0" applyNumberFormat="1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center" vertical="top" wrapText="1"/>
    </xf>
    <xf numFmtId="0" fontId="21" fillId="0" borderId="10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20" fillId="0" borderId="10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left" vertical="center" wrapText="1"/>
    </xf>
    <xf numFmtId="0" fontId="20" fillId="0" borderId="11" xfId="0" applyFont="1" applyFill="1" applyBorder="1" applyAlignment="1">
      <alignment horizontal="left" vertical="center"/>
    </xf>
    <xf numFmtId="0" fontId="20" fillId="0" borderId="12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20" fillId="0" borderId="12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 wrapText="1"/>
    </xf>
    <xf numFmtId="0" fontId="20" fillId="0" borderId="13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20" fillId="0" borderId="1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left" vertical="top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_AVAYA-PRICE-模板-v1" xfId="50"/>
    <cellStyle name="常规_AVAYA-PRICE-模板-v1_三号清单（监控系统） 2 2" xfId="51"/>
    <cellStyle name="常规_26楼综合布线系统报价" xfId="52"/>
    <cellStyle name="_清单报价-欢乐海岸" xfId="53"/>
    <cellStyle name="常规 3" xfId="54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8"/>
  <sheetViews>
    <sheetView tabSelected="1" view="pageBreakPreview" zoomScaleNormal="100" workbookViewId="0">
      <pane ySplit="4" topLeftCell="A5" activePane="bottomLeft" state="frozen"/>
      <selection/>
      <selection pane="bottomLeft" activeCell="I8" sqref="I8"/>
    </sheetView>
  </sheetViews>
  <sheetFormatPr defaultColWidth="9" defaultRowHeight="13.5"/>
  <cols>
    <col min="1" max="1" width="6.45833333333333" style="3" customWidth="1"/>
    <col min="2" max="2" width="16.2583333333333" style="4" customWidth="1"/>
    <col min="3" max="3" width="75.1916666666667" style="5" customWidth="1"/>
    <col min="4" max="4" width="6.90833333333333" style="3" customWidth="1"/>
    <col min="5" max="5" width="9.66666666666667" style="3"/>
    <col min="6" max="6" width="13.4583333333333" style="3" customWidth="1"/>
    <col min="7" max="7" width="12.8166666666667" style="6" customWidth="1"/>
    <col min="8" max="8" width="14.0416666666667" style="3" customWidth="1"/>
    <col min="9" max="9" width="26.7666666666667" style="7" customWidth="1"/>
    <col min="10" max="10" width="20" style="7" customWidth="1"/>
    <col min="11" max="16384" width="9" style="3"/>
  </cols>
  <sheetData>
    <row r="1" ht="14.25" spans="1:10">
      <c r="A1" s="8" t="s">
        <v>0</v>
      </c>
      <c r="B1" s="9"/>
      <c r="C1" s="10"/>
      <c r="D1" s="11"/>
      <c r="E1" s="11"/>
      <c r="F1" s="11"/>
      <c r="G1" s="11"/>
      <c r="H1" s="11"/>
      <c r="I1" s="12"/>
      <c r="J1" s="13"/>
    </row>
    <row r="2" s="1" customFormat="1" spans="1:10">
      <c r="A2" s="14" t="s">
        <v>1</v>
      </c>
      <c r="B2" s="15"/>
      <c r="C2" s="16"/>
      <c r="D2" s="17"/>
      <c r="E2" s="17"/>
      <c r="F2" s="17"/>
      <c r="G2" s="18"/>
      <c r="H2" s="17"/>
      <c r="I2" s="19"/>
      <c r="J2" s="20"/>
    </row>
    <row r="3" s="1" customFormat="1" spans="1:10">
      <c r="A3" s="21" t="s">
        <v>2</v>
      </c>
      <c r="B3" s="22"/>
      <c r="C3" s="23"/>
      <c r="D3" s="24"/>
      <c r="E3" s="24"/>
      <c r="F3" s="24"/>
      <c r="G3" s="25"/>
      <c r="H3" s="24"/>
      <c r="I3" s="25"/>
      <c r="J3" s="26"/>
    </row>
    <row r="4" ht="28.5" spans="1:10">
      <c r="A4" s="27" t="s">
        <v>3</v>
      </c>
      <c r="B4" s="28" t="s">
        <v>4</v>
      </c>
      <c r="C4" s="29" t="s">
        <v>5</v>
      </c>
      <c r="D4" s="27" t="s">
        <v>6</v>
      </c>
      <c r="E4" s="27" t="s">
        <v>7</v>
      </c>
      <c r="F4" s="30" t="s">
        <v>8</v>
      </c>
      <c r="G4" s="31" t="s">
        <v>9</v>
      </c>
      <c r="H4" s="31" t="s">
        <v>10</v>
      </c>
      <c r="I4" s="31" t="s">
        <v>11</v>
      </c>
      <c r="J4" s="32" t="s">
        <v>12</v>
      </c>
    </row>
    <row r="5" s="2" customFormat="1" spans="1:10">
      <c r="A5" s="33"/>
      <c r="B5" s="34" t="s">
        <v>13</v>
      </c>
      <c r="C5" s="35"/>
      <c r="D5" s="36"/>
      <c r="E5" s="37"/>
      <c r="F5" s="38"/>
      <c r="G5" s="39"/>
      <c r="H5" s="40"/>
      <c r="I5" s="41"/>
      <c r="J5" s="42"/>
    </row>
    <row r="6" s="2" customFormat="1" ht="45" spans="1:10">
      <c r="A6" s="43">
        <v>35</v>
      </c>
      <c r="B6" s="44" t="s">
        <v>14</v>
      </c>
      <c r="C6" s="45" t="s">
        <v>15</v>
      </c>
      <c r="D6" s="46" t="s">
        <v>16</v>
      </c>
      <c r="E6" s="47">
        <v>37</v>
      </c>
      <c r="F6" s="38"/>
      <c r="G6" s="39">
        <f t="shared" ref="G6:G8" si="0">E6*F6</f>
        <v>0</v>
      </c>
      <c r="H6" s="40"/>
      <c r="I6" s="48" t="s">
        <v>17</v>
      </c>
      <c r="J6" s="49"/>
    </row>
    <row r="7" s="2" customFormat="1" ht="45" spans="1:10">
      <c r="A7" s="43">
        <v>36</v>
      </c>
      <c r="B7" s="44" t="s">
        <v>18</v>
      </c>
      <c r="C7" s="45" t="s">
        <v>19</v>
      </c>
      <c r="D7" s="46" t="s">
        <v>16</v>
      </c>
      <c r="E7" s="47">
        <v>53</v>
      </c>
      <c r="F7" s="38"/>
      <c r="G7" s="39">
        <f t="shared" si="0"/>
        <v>0</v>
      </c>
      <c r="H7" s="40"/>
      <c r="I7" s="48" t="s">
        <v>17</v>
      </c>
      <c r="J7" s="49"/>
    </row>
    <row r="8" s="2" customFormat="1" ht="27" spans="1:10">
      <c r="A8" s="43"/>
      <c r="B8" s="44" t="s">
        <v>20</v>
      </c>
      <c r="C8" s="45" t="s">
        <v>21</v>
      </c>
      <c r="D8" s="46" t="s">
        <v>16</v>
      </c>
      <c r="E8" s="47">
        <v>53</v>
      </c>
      <c r="F8" s="38"/>
      <c r="G8" s="39">
        <f t="shared" si="0"/>
        <v>0</v>
      </c>
      <c r="H8" s="40"/>
      <c r="I8" s="48" t="s">
        <v>17</v>
      </c>
      <c r="J8" s="49"/>
    </row>
    <row r="9" s="2" customFormat="1" ht="45" spans="1:10">
      <c r="A9" s="43">
        <v>37</v>
      </c>
      <c r="B9" s="44" t="s">
        <v>22</v>
      </c>
      <c r="C9" s="45" t="s">
        <v>23</v>
      </c>
      <c r="D9" s="46" t="s">
        <v>16</v>
      </c>
      <c r="E9" s="47">
        <v>53</v>
      </c>
      <c r="F9" s="38"/>
      <c r="G9" s="39">
        <f>E9*F9</f>
        <v>0</v>
      </c>
      <c r="H9" s="40"/>
      <c r="I9" s="48" t="s">
        <v>17</v>
      </c>
      <c r="J9" s="49"/>
    </row>
    <row r="10" ht="14.25" spans="1:10">
      <c r="A10" s="50" t="s">
        <v>24</v>
      </c>
      <c r="B10" s="51"/>
      <c r="C10" s="52"/>
      <c r="D10" s="50"/>
      <c r="E10" s="50"/>
      <c r="F10" s="53"/>
      <c r="G10" s="54">
        <f>SUM(G6:G9)</f>
        <v>0</v>
      </c>
      <c r="H10" s="55"/>
      <c r="I10" s="48"/>
      <c r="J10" s="56"/>
    </row>
    <row r="11" ht="14.25" spans="1:10">
      <c r="A11" s="50" t="s">
        <v>25</v>
      </c>
      <c r="B11" s="51"/>
      <c r="C11" s="52"/>
      <c r="D11" s="50"/>
      <c r="E11" s="50"/>
      <c r="F11" s="53"/>
      <c r="G11" s="54">
        <f>G10*0.09</f>
        <v>0</v>
      </c>
      <c r="H11" s="55"/>
      <c r="I11" s="57"/>
      <c r="J11" s="56"/>
    </row>
    <row r="12" ht="14.25" spans="1:10">
      <c r="A12" s="50" t="s">
        <v>26</v>
      </c>
      <c r="B12" s="51"/>
      <c r="C12" s="52"/>
      <c r="D12" s="50"/>
      <c r="E12" s="50"/>
      <c r="F12" s="53"/>
      <c r="G12" s="54">
        <f>G10+G11</f>
        <v>0</v>
      </c>
      <c r="H12" s="55"/>
      <c r="I12" s="57"/>
      <c r="J12" s="56"/>
    </row>
    <row r="13" spans="1:10">
      <c r="A13" s="58" t="s">
        <v>27</v>
      </c>
      <c r="B13" s="59"/>
      <c r="C13" s="60"/>
      <c r="D13" s="58"/>
      <c r="E13" s="58"/>
      <c r="F13" s="61"/>
      <c r="G13" s="62"/>
      <c r="H13" s="58"/>
      <c r="I13" s="62"/>
      <c r="J13" s="62"/>
    </row>
    <row r="14" s="1" customFormat="1" spans="1:10">
      <c r="A14" s="63" t="s">
        <v>28</v>
      </c>
      <c r="B14" s="64"/>
      <c r="C14" s="65"/>
      <c r="D14" s="66" t="s">
        <v>29</v>
      </c>
      <c r="E14" s="67"/>
      <c r="F14" s="68"/>
      <c r="G14" s="69"/>
      <c r="H14" s="67"/>
      <c r="I14" s="70"/>
      <c r="J14" s="71"/>
    </row>
    <row r="15" s="1" customFormat="1" spans="1:10">
      <c r="A15" s="63" t="s">
        <v>30</v>
      </c>
      <c r="B15" s="64"/>
      <c r="C15" s="65"/>
      <c r="D15" s="72" t="s">
        <v>31</v>
      </c>
      <c r="E15" s="62"/>
      <c r="F15" s="73"/>
      <c r="G15" s="62"/>
      <c r="H15" s="72"/>
      <c r="I15" s="74" t="s">
        <v>32</v>
      </c>
      <c r="J15" s="71"/>
    </row>
    <row r="16" spans="1:10">
      <c r="A16" s="75" t="s">
        <v>33</v>
      </c>
      <c r="B16" s="76"/>
      <c r="C16" s="77"/>
      <c r="D16" s="68"/>
      <c r="E16" s="68"/>
      <c r="F16" s="68"/>
      <c r="G16" s="78"/>
      <c r="H16" s="68"/>
      <c r="I16" s="79"/>
      <c r="J16" s="80"/>
    </row>
    <row r="17" spans="1:10">
      <c r="A17" s="81" t="s">
        <v>34</v>
      </c>
      <c r="B17" s="82"/>
      <c r="C17" s="83"/>
      <c r="D17" s="84"/>
      <c r="E17" s="84"/>
      <c r="F17" s="84"/>
      <c r="G17" s="85"/>
      <c r="H17" s="84"/>
      <c r="I17" s="86"/>
      <c r="J17" s="87"/>
    </row>
    <row r="18" s="3" customFormat="1" ht="243" customHeight="1" spans="1:10">
      <c r="A18" s="61" t="s">
        <v>35</v>
      </c>
      <c r="B18" s="59"/>
      <c r="C18" s="88"/>
      <c r="D18" s="61"/>
      <c r="E18" s="61"/>
      <c r="F18" s="61"/>
      <c r="G18" s="61"/>
      <c r="H18" s="61"/>
      <c r="I18" s="61"/>
      <c r="J18" s="61"/>
    </row>
  </sheetData>
  <autoFilter xmlns:etc="http://www.wps.cn/officeDocument/2017/etCustomData" ref="A4:J18" etc:filterBottomFollowUsedRange="0">
    <extLst/>
  </autoFilter>
  <mergeCells count="14">
    <mergeCell ref="A1:J1"/>
    <mergeCell ref="A3:J3"/>
    <mergeCell ref="A10:F10"/>
    <mergeCell ref="A11:F11"/>
    <mergeCell ref="A12:F12"/>
    <mergeCell ref="A13:J13"/>
    <mergeCell ref="A14:C14"/>
    <mergeCell ref="D14:J14"/>
    <mergeCell ref="A15:C15"/>
    <mergeCell ref="D15:H15"/>
    <mergeCell ref="I15:J15"/>
    <mergeCell ref="A16:J16"/>
    <mergeCell ref="A17:J17"/>
    <mergeCell ref="A18:J18"/>
  </mergeCells>
  <pageMargins left="0.7" right="0.7" top="0.75" bottom="0.75" header="0.3" footer="0.3"/>
  <pageSetup paperSize="9" scale="66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容我三思</cp:lastModifiedBy>
  <dcterms:created xsi:type="dcterms:W3CDTF">2023-05-24T01:50:00Z</dcterms:created>
  <cp:lastPrinted>2023-10-20T02:49:00Z</cp:lastPrinted>
  <dcterms:modified xsi:type="dcterms:W3CDTF">2026-02-27T09:36:25Z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67FD05C5B67847F3BBD91261EAA10812_13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